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Deal_Dataset" sheetId="2" state="visible" r:id="rId4"/>
    <sheet name="Summary" sheetId="3" state="visible" r:id="rId5"/>
    <sheet name="AI_Coding" sheetId="4" state="visible" r:id="rId6"/>
    <sheet name="Regression_Results" sheetId="5" state="visible" r:id="rId7"/>
    <sheet name="Sample_Waterfall" sheetId="6" state="visible" r:id="rId8"/>
  </sheets>
  <definedNames>
    <definedName function="false" hidden="true" localSheetId="1" name="_xlnm._FilterDatabase" vbProcedure="false">Deal_Dataset!$A$1:$Z$56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<sst xmlns="http://schemas.openxmlformats.org/spreadsheetml/2006/main" count="838" uniqueCount="485">
  <si>
    <t xml:space="preserve">AI Acquisition Premium Study - Master Workbook</t>
  </si>
  <si>
    <t xml:space="preserve">Independent student research project, 2026. Hand-selected sample of 55 US public technology acquisitions (2015-2025) built from SEC filings and company press releases.</t>
  </si>
  <si>
    <t xml:space="preserve">Tabs</t>
  </si>
  <si>
    <t xml:space="preserve">Deal_Dataset: every deal, inputs in blue (from filings), multiples/growth/premium computed by live formulas in black.</t>
  </si>
  <si>
    <t xml:space="preserve">AI_Coding: the 18 companies classified blind by two coders, plus the final adjudicated label.</t>
  </si>
  <si>
    <t xml:space="preserve">Summary: sample counts and AI vs non-AI comparison (live formulas off Deal_Dataset).</t>
  </si>
  <si>
    <t xml:space="preserve">Regression_Results: exploratory statistical results (computed in Python, pasted as values).</t>
  </si>
  <si>
    <t xml:space="preserve">Sample_Waterfall: how 55 deals become the 35-deal EV/Revenue sample.</t>
  </si>
  <si>
    <t xml:space="preserve">Key result</t>
  </si>
  <si>
    <t xml:space="preserve">No evidence that AI-enabled targets traded at higher EV/Revenue multiples in this sample. Only 2-3 strict AI-native targets exist in the sample, so the pre-registered test could not be run; the result is exploratory, not definitive.</t>
  </si>
  <si>
    <t xml:space="preserve">Caveats</t>
  </si>
  <si>
    <t xml:space="preserve">1. Sample is hand-picked (well-known deals), not a systematic universe.  2. EV is used only when company-stated or bridgeable from filings; otherwise blank.  3. Blank = not found in filings (never estimated).  4. No causal claims.</t>
  </si>
  <si>
    <t xml:space="preserve">Colour code: blue = hard-coded input from source; black = formula; grey rows = not in the EV/Revenue analysis sample.</t>
  </si>
  <si>
    <t xml:space="preserve">Units: $mm unless stated. Multiples in x. Premiums and growth as %.</t>
  </si>
  <si>
    <t xml:space="preserve">Deal ID</t>
  </si>
  <si>
    <t xml:space="preserve">Target</t>
  </si>
  <si>
    <t xml:space="preserve">Buyer</t>
  </si>
  <si>
    <t xml:space="preserve">Announced</t>
  </si>
  <si>
    <t xml:space="preserve">Buyer type</t>
  </si>
  <si>
    <t xml:space="preserve">Sector</t>
  </si>
  <si>
    <t xml:space="preserve">Offer price ($/sh)</t>
  </si>
  <si>
    <t xml:space="preserve">Unaffected price ($/sh)</t>
  </si>
  <si>
    <t xml:space="preserve">Enterprise value ($mm)</t>
  </si>
  <si>
    <t xml:space="preserve">EV basis</t>
  </si>
  <si>
    <t xml:space="preserve">LTM revenue ($mm)</t>
  </si>
  <si>
    <t xml:space="preserve">Prior-year LTM revenue ($mm)</t>
  </si>
  <si>
    <t xml:space="preserve">LTM EBITDA ($mm)</t>
  </si>
  <si>
    <t xml:space="preserve">EV / Revenue (x)</t>
  </si>
  <si>
    <t xml:space="preserve">Revenue growth (%)</t>
  </si>
  <si>
    <t xml:space="preserve">EBITDA margin (%)</t>
  </si>
  <si>
    <t xml:space="preserve">EV / EBITDA (x)</t>
  </si>
  <si>
    <t xml:space="preserve">1-day premium (%)</t>
  </si>
  <si>
    <t xml:space="preserve">AI intensity (0-3)</t>
  </si>
  <si>
    <t xml:space="preserve">Broad AI (&gt;=1)</t>
  </si>
  <si>
    <t xml:space="preserve">Strict AI (&gt;=2)</t>
  </si>
  <si>
    <t xml:space="preserve">In EV/Rev sample</t>
  </si>
  <si>
    <t xml:space="preserve">In premium sample</t>
  </si>
  <si>
    <t xml:space="preserve">Data quality</t>
  </si>
  <si>
    <t xml:space="preserve">Source URL</t>
  </si>
  <si>
    <t xml:space="preserve">Notes</t>
  </si>
  <si>
    <t xml:space="preserve">L01</t>
  </si>
  <si>
    <t xml:space="preserve">Informatica Corp</t>
  </si>
  <si>
    <t xml:space="preserve">Permira funds + CPPIB</t>
  </si>
  <si>
    <t xml:space="preserve">2015-04-07</t>
  </si>
  <si>
    <t xml:space="preserve">sponsor</t>
  </si>
  <si>
    <t xml:space="preserve">Infrastructure Software</t>
  </si>
  <si>
    <t xml:space="preserve">undisclosed</t>
  </si>
  <si>
    <t xml:space="preserve">A</t>
  </si>
  <si>
    <t xml:space="preserve">https://www.sec.gov/Archives/edgar/data/0001080099/000104746915004851/a2224711zdefm14a.htm</t>
  </si>
  <si>
    <t xml:space="preserve">Headline USD 5.3bn is from the 2015-04-07 press release ('Transaction Valued at Approximately US$5.3 Billion or US$48.75 Per Share'); release does not label it equity or enterprise, so htype=consideration; equity/EV not stated in text read. Closing date 2015-08-06 from Informatica completion release (8-K). Ticker not extracted from filing text (cover page tool output omitted symbol); INFA per registrant convention. Buyer is UK-based Permira with Canadian CPPIB (consortium); bc=GB is a choice. Unaffected price not stated in text read; note Jan 23, 2015 reference date suggests earlier takeover speculation. DEFM14A only partially read (first ~100k chars + one further slice).</t>
  </si>
  <si>
    <t xml:space="preserve">L05</t>
  </si>
  <si>
    <t xml:space="preserve">Cvent Inc</t>
  </si>
  <si>
    <t xml:space="preserve">Vista Equity Partners</t>
  </si>
  <si>
    <t xml:space="preserve">2016-04-18</t>
  </si>
  <si>
    <t xml:space="preserve">Application Software</t>
  </si>
  <si>
    <t xml:space="preserve">calculated_from_bridge</t>
  </si>
  <si>
    <t xml:space="preserve">https://www.sec.gov/Archives/edgar/data/0001122897/000119312516543979/d183876dex991.htm</t>
  </si>
  <si>
    <t xml:space="preserve">Press release: 'total value of approximately $1.65 billion' (treated as equity). Merger agreement dated 2016-04-17 per DEFM14A. Closing 2016-11-29 per 8-K Item 2.01. Unaffected dollar price not located in text read. Ticker not extracted from filing text.</t>
  </si>
  <si>
    <t xml:space="preserve">L04</t>
  </si>
  <si>
    <t xml:space="preserve">Marketo Inc</t>
  </si>
  <si>
    <t xml:space="preserve">2016-05-31</t>
  </si>
  <si>
    <t xml:space="preserve">B</t>
  </si>
  <si>
    <t xml:space="preserve">https://www.sec.gov/Archives/edgar/data/0001490660/000104746916013522/a2228833zex-99_1.htm</t>
  </si>
  <si>
    <t xml:space="preserve">Final price $35.25 per share (not $34.25). Press release 2016-05-31: 'total value of approximately $1.79 billion' for all outstanding shares (treated as equity value). DEFM14A states merger agreement dated May 27, 2016 (announcement May 31). Closing 2016-08-16 per 8-K Item 2.01. Unaffected dollar price not located in text read. Ticker not extracted from filing text.</t>
  </si>
  <si>
    <t xml:space="preserve">L03</t>
  </si>
  <si>
    <t xml:space="preserve">Demandware Inc</t>
  </si>
  <si>
    <t xml:space="preserve">Salesforce.com Inc</t>
  </si>
  <si>
    <t xml:space="preserve">2016-06-01</t>
  </si>
  <si>
    <t xml:space="preserve">strategic</t>
  </si>
  <si>
    <t xml:space="preserve">reported</t>
  </si>
  <si>
    <t xml:space="preserve">https://www.sec.gov/Archives/edgar/data/0001301031/000119312516609202/d160431d8k.htm</t>
  </si>
  <si>
    <t xml:space="preserve">Both Salesforce press release and Demandware 8-K say 'approximately $2.8 billion (net of cash acquired)', i.e. company-stated net-of-cash figure, treated as EV (evq B) - equity value not stated. Merger agreement dated 2016-05-31; structured as tender offer (no DEFM14A). Closing 2016-07-11 per Salesforce completion release. Premium / unaffected price not found (Schedule 14D-9 not retrieved; search budget exhausted). Ticker not extracted from filing text.</t>
  </si>
  <si>
    <t xml:space="preserve">L02</t>
  </si>
  <si>
    <t xml:space="preserve">Qlik Technologies Inc</t>
  </si>
  <si>
    <t xml:space="preserve">Thoma Bravo</t>
  </si>
  <si>
    <t xml:space="preserve">2016-06-02</t>
  </si>
  <si>
    <t xml:space="preserve">https://www.sec.gov/Archives/edgar/data/0001305294/000119312516642539/d212251ddefm14a.htm</t>
  </si>
  <si>
    <t xml:space="preserve">Headline ~USD 3.0bn from DEFA14A 'valued at approximately $3.0 billion' (unlabeled). Merger agreement dated 2016-06-02 per DEFM14A. Closing 2016-08-22 per Qlik 8-K Item 2.01 (a Thoma Bravo web page label shows Aug 29, 2016; used the SEC 8-K). Unaffected reference is a 10-day average ($21.83), not a single-day close, so un_px and un_date left null. Ticker not extracted from filing text. D&amp;A from cash flow statement lines; Q1'16 10-Q lists no short-term investments.</t>
  </si>
  <si>
    <t xml:space="preserve">L08</t>
  </si>
  <si>
    <t xml:space="preserve">MuleSoft, Inc.</t>
  </si>
  <si>
    <t xml:space="preserve">Salesforce.com, inc.</t>
  </si>
  <si>
    <t xml:space="preserve">2018-03-20</t>
  </si>
  <si>
    <t xml:space="preserve">https://www.sec.gov/Archives/edgar/data/0001374684/000119312518089357/d554902dex991.htm</t>
  </si>
  <si>
    <t xml:space="preserve">Consideration $36.00 cash + 0.0711 CRM shares; $44.89 is the implied value at Salesforce's 3/19/2018 close per 8-K Ex 99.1. EV approx $6.5bn is company-stated (press release); equity value not stated. VWAP is one-month (not strictly 30-day) per SC 14D-9 (https://www.sec.gov/Archives/edgar/data/1374684/000119312518104052/d560854dsc14d9.htm). Shares outstanding 3/28/2018: 94,416,981 Class A + 39,145,184 Class B (not fully diluted). Closing 2018-05-02 per Salesforce press release dateline. Ticker MULE per 10-K XBRL cover. Structure was tender offer, no DEFM14A. Deal pre-dates full stock-price drift; Salesforce stock-component value fluctuates.</t>
  </si>
  <si>
    <t xml:space="preserve">L07</t>
  </si>
  <si>
    <t xml:space="preserve">Imperva, Inc.</t>
  </si>
  <si>
    <t xml:space="preserve">2018-10-10</t>
  </si>
  <si>
    <t xml:space="preserve">Cybersecurity</t>
  </si>
  <si>
    <t xml:space="preserve">https://www.sec.gov/Archives/edgar/data/0001364962/000119312518343681/d651525ddefm14a.htm</t>
  </si>
  <si>
    <t xml:space="preserve">Offer is $55.75 (DEFM14A and 8-K Ex.99.1). Headline 'valued at approximately $2.1 billion' per press release (8-K Ex 99.1: https://www.sec.gov/Archives/edgar/data/0001364962/000119312518296463/d608301dex991.htm); DEFM14A says funding of approx $2.1bn covers stockholder and equity award payments plus cash on hand; equity vs enterprise basis not specified so htype set to consideration; eq and ev not stated -&gt; null. Debt: no debt line item on 6/30/2018 balance sheet, set 0. Press release states no premium; premiums are from DEFM14A. Closing 2019-01-10 per 8-K Ex 99.1 (https://www.sec.gov/Archives/edgar/data/1364962/000119312519005808/d669134dex991.htm). Buyer country US not stated in filings (Thoma Bravo described only as PE firm); US per Thoma Bravo being a US-based PE firm (not verified in a filing in this pass). Ticker from 10-Q XBRL cover.</t>
  </si>
  <si>
    <t xml:space="preserve">L06</t>
  </si>
  <si>
    <t xml:space="preserve">Apptio Inc</t>
  </si>
  <si>
    <t xml:space="preserve">2018-11-11</t>
  </si>
  <si>
    <t xml:space="preserve">https://www.sec.gov/Archives/edgar/data/0001419625/000119312518345430/d584060ddefm14a.htm</t>
  </si>
  <si>
    <t xml:space="preserve">Final price $38.00 per share (not $40). Value 'approximately $1.94 billion' as quoted from the Apptio press release (page retrieved was a DEFA14A containing a quoted complaint); not labeled equity vs EV, treated as equity. Press release 2018-11-11; merger agreement dated 2018-11-09. Closing 2019-01-10 per 8-K Item 2.01. fq=B because operating-income LTM mixes bases: FY2017 10-K is pre-ASC 606 while 2018 10-Q and its 2017 comparatives are restated (9M'17 operating loss (18,519) in 2018 10-Q vs (19,101) in original 2017 10-Q); revenue unaffected. Convertible notes carried net of discount (109,772K). Ticker not extracted from filing text.</t>
  </si>
  <si>
    <t xml:space="preserve">L13</t>
  </si>
  <si>
    <t xml:space="preserve">Ultimate Software Group, Inc.</t>
  </si>
  <si>
    <t xml:space="preserve">Hellman &amp; Friedman (investor group)</t>
  </si>
  <si>
    <t xml:space="preserve">2019-02-04</t>
  </si>
  <si>
    <t xml:space="preserve">https://www.sec.gov/Archives/edgar/data/1016125/000114036119005654/s002694x3_defm14a.htm</t>
  </si>
  <si>
    <t xml:space="preserve">Company PR (Feb 4 2019): 'aggregate value of approximately $11 billion' (not labeled EV vs equity); no EV/equity value in proxy. Shares outstanding 31,680,263 at Mar 25 2019; no options outstanding. Ticker ULTI not shown in fetched 10-K text (cover lists Nasdaq only); verify. Closing 8-K: May 3 2019. 30-day VWAP dollar figure not stated. Debt is capital leases only.</t>
  </si>
  <si>
    <t xml:space="preserve">L09</t>
  </si>
  <si>
    <t xml:space="preserve">Tableau Software, Inc.</t>
  </si>
  <si>
    <t xml:space="preserve">2019-06-10</t>
  </si>
  <si>
    <t xml:space="preserve">https://www.sec.gov/Archives/edgar/data/1108524/000119312519188682/d82079ds4.htm</t>
  </si>
  <si>
    <t xml:space="preserve">Fixed exchange ratio of 1.103 CRM shares per Tableau share (all stock). Offer price $177.88 is DERIVED (1.103 x $161.27) - no filing states an implied per-share price; this is the S-4's own inputs. EV $15.7bn 'net of cash' is company-stated (8-K Ex 99.1: https://www.sec.gov/Archives/edgar/data/1303652/000119312519168536/d763090dex991.htm); equity value not stated. Shares outstanding 6/24/2019: 77,003,759 Class A + 10,368,961 Class B = 87,372,720 (not fully diluted). June 7 is the last trading day before announcement; whether it is 'unaffected' (pre-leak) not verified. Closing 2019-08-01 per Salesforce 8-K.</t>
  </si>
  <si>
    <t xml:space="preserve">L12</t>
  </si>
  <si>
    <t xml:space="preserve">Medidata Solutions, Inc.</t>
  </si>
  <si>
    <t xml:space="preserve">Dassault Systemes SE</t>
  </si>
  <si>
    <t xml:space="preserve">2019-06-11</t>
  </si>
  <si>
    <t xml:space="preserve">https://www.sec.gov/Archives/edgar/data/1453814/000145381419000098/pressrelease.htm</t>
  </si>
  <si>
    <t xml:space="preserve">EV $5.8bn is company-stated (8-K press release and Dassault release); equity value not stated. DEFM14A (https://www.sec.gov/Archives/edgar/data/1453814/000114036119013217/nc10003001x2_defm14a.htm) gives 62,449,313 shares outstanding at 7/19/2019 (basic). Closing 2019-10-28 per Medidata 8-K (Items 2.01, 1.02, 5.01, 3.01) filed 10/28/2019. Acquirer is French (Dassault Systemes SE); target is US-listed (NASDAQ) and US-based. Only the first ~140k characters of the DEFM14A were read; premium may exist in later fairness-opinion sections. Ticker MDSO per DEFM14A text.</t>
  </si>
  <si>
    <t xml:space="preserve">L10</t>
  </si>
  <si>
    <t xml:space="preserve">Carbonite, Inc.</t>
  </si>
  <si>
    <t xml:space="preserve">Open Text Corporation</t>
  </si>
  <si>
    <t xml:space="preserve">2019-11-11</t>
  </si>
  <si>
    <t xml:space="preserve">https://www.sec.gov/Archives/edgar/data/1340127/000119312519289310/d832010dex991.htm</t>
  </si>
  <si>
    <t xml:space="preserve">EV approx $1.42bn is company-stated (press release); equity value not stated. CONFLICT: press release gives unaffected date as Sept 5, 2019; SC 14D-9 (https://www.sec.gov/Archives/edgar/data/1340127/000119312519299069/d839795dsc14d9.htm) defines unaffected price as the price before the Sept 7 article ($12.93); 23.00/12.93 = 1.779 consistent with 78%. 35,042,212 shares outstanding 11/21/2019 (basic). Tender offer; merger completed 2019-12-24 per SC 14D-9/A (https://www.sec.gov/Archives/edgar/data/1340127/000119312519322988/d717414dsc14d9a.htm). Acquirer OpenText is Canada-based (country from general knowledge, not a filing in this pass). Ticker CARB from 10-Q XBRL cover.</t>
  </si>
  <si>
    <t xml:space="preserve">L11</t>
  </si>
  <si>
    <t xml:space="preserve">Instructure, Inc.</t>
  </si>
  <si>
    <t xml:space="preserve">2019-12-04</t>
  </si>
  <si>
    <t xml:space="preserve">https://www.sec.gov/Archives/edgar/data/1355754/000119312519305817/d816713dex991.htm</t>
  </si>
  <si>
    <t xml:space="preserve">Equity value approx $2.0bn is company-stated (8-K Ex 99.1: 'aggregate equity value of approximately $2.0 billion'); no EV stated. DEFM14A (https://www.sec.gov/Archives/edgar/data/1355754/000119312520000113/d812272ddefm14a.htm): 38,257,326 shares outstanding at 1/1/2020; background cites bidder-assumed fully diluted count of approx 37.67 million (Jan 2019, not a company dil figure). Unaffected date/price not found in retrievable portions of proxy. Closing 2020-03-24 inferred from 8-K filings with report date 3/24/2020 in EDGAR submissions index (form type not displayed); verify. Ticker INST from 10-Q XBRL cover.</t>
  </si>
  <si>
    <t xml:space="preserve">L14</t>
  </si>
  <si>
    <t xml:space="preserve">Slack Technologies, Inc.</t>
  </si>
  <si>
    <t xml:space="preserve">Salesforce, Inc.</t>
  </si>
  <si>
    <t xml:space="preserve">2020-12-01</t>
  </si>
  <si>
    <t xml:space="preserve">https://www.sec.gov/Archives/edgar/data/1108524/000119312520307395/d86936dex991.htm</t>
  </si>
  <si>
    <t xml:space="preserve">Consideration $26.79 cash + 0.0776 CRM share per Slack share; 'offer' 47.03 is proxy's value at Nov 24 2020 CRM close (value moves with CRM price; EV $27.7B PR based on Nov 30 CRM close). No premium or Slack unaffected closing price found in filings read. Basic shares 501,490,143 Class A + 79,094,868 Class B (Jan 25 2021). Closing: Salesforce 8-K Jul 21 2021. Equity value not stated.</t>
  </si>
  <si>
    <t xml:space="preserve">L46</t>
  </si>
  <si>
    <t xml:space="preserve">RealPage</t>
  </si>
  <si>
    <t xml:space="preserve">2020-12-21</t>
  </si>
  <si>
    <t xml:space="preserve">https://www.sec.gov/Archives/edgar/data/1286225/000119312520322436/d24232dex992.htm ; https://www.sec.gov/Archives/edgar/data/1286225/000119312521029970/d52613ddefm14a.htm ; https://www.sec.gov/Archives/edgar/data/1286225/000119312521125818/d177605d8k.htm</t>
  </si>
  <si>
    <t xml:space="preserve">Press release: 'values RealPage at approximately $10.2 billion, including net debt' (company-stated EV-type figure; no separate equity value). Merger agreement dated 2020-12-20; announced 2020-12-21. DEFM14A text read did not include premium/VWAP/diluted count (102,060,098 basic shares at record date). Closing 8-K states ~$11.8B total merger consideration incl. $6.88B equity (as reported by tool extract; not used for head). Closing 2021-04-22 per 8-K Item 2.01.</t>
  </si>
  <si>
    <t xml:space="preserve">L15</t>
  </si>
  <si>
    <t xml:space="preserve">Talend S.A.</t>
  </si>
  <si>
    <t xml:space="preserve">2021-03-10</t>
  </si>
  <si>
    <t xml:space="preserve">https://www.thomabravo.com/press-releases/talend-to-be-acquired-by-thoma-bravo-in-a-2.4-billion-transaction</t>
  </si>
  <si>
    <t xml:space="preserve">Talend S.A. is French-incorporated (ADSs on Nasdaq) but US-based (Redwood City) and a US domestic 10-K filer, so treated as in scope. $2.4B 'including net debt' = company-stated EV. Tender offer completed ~Jul 29 2021 (initial period) and subsequent offer period ended Aug 9 2021; Thoma Bravo announced completion Sep 2 2021 (used as close). 30-day VWAP not found for the final offer. Basic shares 32,709,507 (Jun 9 2021).</t>
  </si>
  <si>
    <t xml:space="preserve">P02</t>
  </si>
  <si>
    <t xml:space="preserve">Nuance Communications</t>
  </si>
  <si>
    <t xml:space="preserve">Microsoft</t>
  </si>
  <si>
    <t xml:space="preserve">2021-04-12</t>
  </si>
  <si>
    <t xml:space="preserve">https://www.sec.gov/Archives/edgar/data/1002517/000119312521112515/d22854dex991.htm</t>
  </si>
  <si>
    <t xml:space="preserve">EV $19.7bn stated by the company 'inclusive of net debt'; equity value not stated. Close date from secondary press (Windows Central).</t>
  </si>
  <si>
    <t xml:space="preserve">L16</t>
  </si>
  <si>
    <t xml:space="preserve">Proofpoint, Inc.</t>
  </si>
  <si>
    <t xml:space="preserve">2021-04-26</t>
  </si>
  <si>
    <t xml:space="preserve">https://www.proofpoint.com/us/newsroom/press-releases/proofpoint-enters-definitive-agreement-be-acquired-thoma-bravo-123-billion</t>
  </si>
  <si>
    <t xml:space="preserve">'$12.3 billion' per PR 'values Proofpoint at approximately'; EV vs equity not specified. dil = FY2020 diluted weighted avg shares (57,324K), not a deal fully diluted count. 57,627,801 shares outstanding Jun 3 2021. Completion Aug 31 2021 per company PR. D&amp;A from cash flow, EBITDA is GAAP and ~0 due to large amortization.</t>
  </si>
  <si>
    <t xml:space="preserve">L17</t>
  </si>
  <si>
    <t xml:space="preserve">Cloudera, Inc.</t>
  </si>
  <si>
    <t xml:space="preserve">KKR + Clayton, Dubilier &amp; Rice</t>
  </si>
  <si>
    <t xml:space="preserve">2021-06-01</t>
  </si>
  <si>
    <t xml:space="preserve">https://www.sec.gov/Archives/edgar/data/1535379/000119312521177699/d168575dex991.htm</t>
  </si>
  <si>
    <t xml:space="preserve">Announcement date Jun 1 2021 per 8-K ex 99.1. '$5.3 billion' = 'all cash transaction valued at approximately'; proxy calls it total funds needed, not EV. 296,132,583 shares outstanding at Jul 1 2021. Item 1 description is generic; the 10-K goes on to describe the platform. Close Oct 8 2021 per 8-K.</t>
  </si>
  <si>
    <t xml:space="preserve">L45</t>
  </si>
  <si>
    <t xml:space="preserve">Cornerstone OnDemand</t>
  </si>
  <si>
    <t xml:space="preserve">Clearlake Capital</t>
  </si>
  <si>
    <t xml:space="preserve">2021-08-05</t>
  </si>
  <si>
    <t xml:space="preserve">https://www.sec.gov/Archives/edgar/data/1401680/000119312521238137/d135195dex991.htm ; https://www.sec.gov/Archives/edgar/data/1401680/000114036121030923/ny20000316x2_defm14a.htm ; https://www.sec.gov/Archives/edgar/data/1401680/000119312521302087/d247133dsc13da.htm</t>
  </si>
  <si>
    <t xml:space="preserve">Offer is $57.50 per share cash (not $58). Press release: 'enterprise value of approximately $5.2 billion'; no equity value stated; DEFM14A cites ~$5.3B total funding (not EV). No fully diluted share count found (66,857,760 basic at 2021-08-24 record date). un_px null because June 1 2021 close not stated in text read; DEFM14A text was truncated by tool so fairness-opinion sections may contain it. Closing date 2021-10-15 from Clearlake Schedule 13D/A (date of event) - closing 8-K not located. Ticker/exchange from filing naming/memory of listing (CSOD, Nasdaq) not independently quoted.</t>
  </si>
  <si>
    <t xml:space="preserve">L19</t>
  </si>
  <si>
    <t xml:space="preserve">Citrix Systems</t>
  </si>
  <si>
    <t xml:space="preserve">Vista Equity Partners + Elliott (Evergreen Coast Capital) / Cloud Software Group</t>
  </si>
  <si>
    <t xml:space="preserve">2022-01-31</t>
  </si>
  <si>
    <t xml:space="preserve">https://www.sec.gov/Archives/edgar/data/877890/000119312522023669/d293942ddefa14a.htm</t>
  </si>
  <si>
    <t xml:space="preserve">Press release/DEFA14A: 'The transaction is valued at $16.5 billion in cash'; Goodwin repost of release: 'all-cash transaction valued at $16.5 billion, including the assumption of Citrix debt' - so treated as company-stated enterprise value (evq B). Equity value and diluted shares not stated in documents read (DEFM14A: 125,913,152 basic shares at 2022-03-08 record date; total funding approx $17.3 billion). No single-day unaffected closing price stated; unaffected metric is a 5-day VWAP as of 2021-12-07, so un_px null. Q4/FY2021 results (revenue $851M / $3.22B) were released on announcement day 2022-01-31 but the last filed 10-Q was Q3 2021, which was used per brief. Close date 2022-09-30 from Goodwin/vmblog completion-release dates; a Business Wire URL date code suggests 2022-09-29, so +/-1 day uncertain. Buyer is a consortium (Vista + Elliott affiliates Evergreen Coast); Nasdaq press-release page could not be fetched (HTTP 429). rev_prior not built.</t>
  </si>
  <si>
    <t xml:space="preserve">L41</t>
  </si>
  <si>
    <t xml:space="preserve">Mandiant</t>
  </si>
  <si>
    <t xml:space="preserve">Google</t>
  </si>
  <si>
    <t xml:space="preserve">2022-03-08</t>
  </si>
  <si>
    <t xml:space="preserve">C</t>
  </si>
  <si>
    <t xml:space="preserve">https://www.sec.gov/Archives/edgar/data/1370880/000110465922031786/tm228582d1_ex99-1.htm</t>
  </si>
  <si>
    <t xml:space="preserve">Release: "valued at approximately $5.4 billion, inclusive of Mandiant's net cash" - not labeled equity or EV, so htype=consideration; ev not stated in the filing read. Unaffected date Feb 7, 2022 (last full trading day before sale-speculation reports); its dollar price not stated in material read. Premium to closing price 53%, to 10-day VWAP 57%. Cash-flow D&amp;A includes discontinued ops; adjusted as shown. Close date Sept 12, 2022 per Google completion announcement (search listing, not fetched).</t>
  </si>
  <si>
    <t xml:space="preserve">P03</t>
  </si>
  <si>
    <t xml:space="preserve">Anaplan Inc.</t>
  </si>
  <si>
    <t xml:space="preserve">2022-03-20</t>
  </si>
  <si>
    <t xml:space="preserve">https://www.thomabravo.com/press-releases/thoma-bravo-completes-acquisition-of-anaplan</t>
  </si>
  <si>
    <t xml:space="preserve">Price cut from $66.00 to $63.75 on 2022-06-06; final terms used. Value sources conflict ($10.4bn Thoma Bravo vs $9.6bn Techzine). Debt 0 inferred from absence of debt line items.</t>
  </si>
  <si>
    <t xml:space="preserve">L18</t>
  </si>
  <si>
    <t xml:space="preserve">SailPoint Technologies Holdings, Inc.</t>
  </si>
  <si>
    <t xml:space="preserve">2022-04-11</t>
  </si>
  <si>
    <t xml:space="preserve">https://www.sec.gov/Archives/edgar/data/1627857/000119312522100936/d248941dex991.htm</t>
  </si>
  <si>
    <t xml:space="preserve">'$6.9 billion' per PR 'values SailPoint at approximately'; EV vs equity not specified. Proxy: total funds needed approx $7.5B; 94,339,273 shares outstanding at record date. Diluted weighted shares 92,664K (FY2021) not used as dil. Close Aug 16 2022 per Thoma Bravo PR.</t>
  </si>
  <si>
    <t xml:space="preserve">L20</t>
  </si>
  <si>
    <t xml:space="preserve">Zendesk</t>
  </si>
  <si>
    <t xml:space="preserve">Hellman &amp; Friedman + Permira consortium</t>
  </si>
  <si>
    <t xml:space="preserve">2022-06-24</t>
  </si>
  <si>
    <t xml:space="preserve">https://www.businesswire.com/news/home/20220624005233/en/Zendesk-to-Be-Acquired-by-Investor-Group-Led-by-Hellman-Friedman-and-Permira-for-%2410.2-Billion</t>
  </si>
  <si>
    <t xml:space="preserve">Release says deal 'values Zendesk at approximately $10.2 billion' without stating equity vs enterprise, so htype=consideration and eq/ev null. DEFM14A shows total funds needed approx $10.47 billion (financing, not valuation); 123,465,884 shares outstanding at 2022-08-04 record date; no diluted count or unaffected price stated. Press release anchors premium on 2022-06-23 close while DEFA14A calls it 'unaffected share price'; any earlier leak-affected date was not found in sources read. Buyer is a consortium led by H&amp;F (US) and Permira (UK); bc set US for H&amp;F. Close date 2022-11-22 from Zendesk completion release.</t>
  </si>
  <si>
    <t xml:space="preserve">L23</t>
  </si>
  <si>
    <t xml:space="preserve">Ping Identity</t>
  </si>
  <si>
    <t xml:space="preserve">2022-08-03</t>
  </si>
  <si>
    <t xml:space="preserve">https://www.sec.gov/Archives/edgar/data/1679826/000110465922085439/tm2222402d1_ex99-1.htm</t>
  </si>
  <si>
    <t xml:space="preserve">Release: 'valued at an Enterprise Value of approximately $2.8 billion' (no equity value). DEFM14A: 86,281,946 shares outstanding at 2022-09-12 record date; funds needed approx $2.8 billion; no dollar close for 2022-08-02 stated in sources read (Aug 2 is last full trading day before announcement, not necessarily clean of leaks). Close date from Ping/Thoma Bravo completion release. Description is the one verbatim mission sentence retrieved from Item 1. rev_prior not built.</t>
  </si>
  <si>
    <t xml:space="preserve">L22</t>
  </si>
  <si>
    <t xml:space="preserve">Avalara</t>
  </si>
  <si>
    <t xml:space="preserve">2022-08-08</t>
  </si>
  <si>
    <t xml:space="preserve">https://www.vistaequitypartners.com/news/avalara-to-be-acquired-by-vista-equity-partners-for-8-4-billion/</t>
  </si>
  <si>
    <t xml:space="preserve">Release: 'all-cash transaction valued at $8.4 billion, inclusive of Avalara's net debt' - treated as company-stated EV (evq B); equity value not stated. Offer price is $93.50 (not $93). DEFM14A: 88,557,882 shares outstanding at 2022-09-08 record date; no July 6 dollar close stated. Q2 2022 10-Q filing date not confirmed to precede announcement (cover date 2022-08-03, filed on or just before 2022-08-08). Close date 2022-10-19 from Business Wire/SEC 8-K release. rev_prior not built.</t>
  </si>
  <si>
    <t xml:space="preserve">L21</t>
  </si>
  <si>
    <t xml:space="preserve">Coupa Software</t>
  </si>
  <si>
    <t xml:space="preserve">2022-12-12</t>
  </si>
  <si>
    <t xml:space="preserve">https://www.sec.gov/Archives/edgar/data/1385867/000119312522302253/d400208dex991.htm</t>
  </si>
  <si>
    <t xml:space="preserve">Release states 'an enterprise value of $8.0 billion' (no equity value stated). DEFM14A: 75,541,300 shares outstanding at 2023-01-19; total funds needed approx $8.3 billion (financing); no dollar unaffected price in documents read; 30-day VWAP premium given but not the VWAP price. Close date from Coupa completion release dated 2023-02-28. rev_prior not built.</t>
  </si>
  <si>
    <t xml:space="preserve">L25</t>
  </si>
  <si>
    <t xml:space="preserve">Duck Creek Technologies, Inc.</t>
  </si>
  <si>
    <t xml:space="preserve">2023-01-09</t>
  </si>
  <si>
    <t xml:space="preserve">https://www.sec.gov/Archives/edgar/data/1160951/000119312523004161/d442317dex991.htm</t>
  </si>
  <si>
    <t xml:space="preserve">Press release states 'all-cash transaction valued at approximately $2.6 billion' without labeling equity or EV; no aggregate equity value or EV stated in release or DEFM14A (DEFM14A: Vista equity commitment up to ~$2.65bn; 136,906,439 shares outstanding at record date). 30-day VWAP premium 64% stated but dollar VWAP not stated. Nov 30, 2022 10-Q filed same day as announcement (2023-01-09). Closing date from Duck Creek press release dated 2023-03-30. Description: second sentence of Item 1 overview ('Core systems comprise the end-to-end back-office infrastructure of insurance companies...') omitted because fetch returned it in fragments. DEFM14A: https://www.sec.gov/Archives/edgar/data/1160951/000114036123009051/ny20006914x5_defm14a.htm</t>
  </si>
  <si>
    <t xml:space="preserve">L42</t>
  </si>
  <si>
    <t xml:space="preserve">Sumo Logic</t>
  </si>
  <si>
    <t xml:space="preserve">Francisco Partners</t>
  </si>
  <si>
    <t xml:space="preserve">2023-02-09</t>
  </si>
  <si>
    <t xml:space="preserve">https://www.sec.gov/Archives/edgar/data/1643269/000119312523029399/d392451dex991.htm</t>
  </si>
  <si>
    <t xml:space="preserve">Release: "aggregate equity valuation of approximately $1.7 billion"; ev not stated. Unaffected dollar price and VWAP not found in release or DEFM14A portion read. DEFM14A: 124,088,187 shares outstanding at Apr 3, 2023 record date. Sector classification (Infrastructure Software vs Cybersecurity) is a judgment call. Close date May 12, 2023 per completion announcement (search listing).</t>
  </si>
  <si>
    <t xml:space="preserve">P08</t>
  </si>
  <si>
    <t xml:space="preserve">Qualtrics International</t>
  </si>
  <si>
    <t xml:space="preserve">Silver Lake / CPP Investments</t>
  </si>
  <si>
    <t xml:space="preserve">2023-03-13</t>
  </si>
  <si>
    <t xml:space="preserve">https://www.sec.gov/Archives/edgar/data/1747748/000162828023007614/exhibit991-pressrelease1.htm</t>
  </si>
  <si>
    <t xml:space="preserve">Headline $12.5bn (press release) vs $12.4bn stated as equity value in an 8-K (summarised text); equity set to 12.4bn; treated as equity. Sources differ by one day on announcement (03-12 signing, 03-13 public). SAP was majority holder (DEFM14C). Debt 0 inferred.</t>
  </si>
  <si>
    <t xml:space="preserve">L24</t>
  </si>
  <si>
    <t xml:space="preserve">Momentive Global</t>
  </si>
  <si>
    <t xml:space="preserve">Symphony Technology Group (STG)</t>
  </si>
  <si>
    <t xml:space="preserve">https://www.surveymonkey.com/mp/news/stg-to-acquire-momentive/</t>
  </si>
  <si>
    <t xml:space="preserve">DATE FLAG: assignment listed announced year 2022 but announcement was 2023-03-13 (agreement with STG consortium; strategic review followed Oct 2022 rumors). Release says 'values Momentive at approximately $1.5 billion' without equity/EV label, so htype=consideration. Unaffected reference is 'the day prior to media rumors' re Oct 19, 2022; exact date and dollar price not stated in sources read, so un_date/un_px null. DEFM14A: 150,689,947 shares outstanding and entitled to vote; no diluted count. Close date 2023-05-31 per completion exhibit (Business Wire URL code suggests 2023-05-30 release date; +/-1 day uncertain).</t>
  </si>
  <si>
    <t xml:space="preserve">L26</t>
  </si>
  <si>
    <t xml:space="preserve">New Relic, Inc.</t>
  </si>
  <si>
    <t xml:space="preserve">Francisco Partners and TPG</t>
  </si>
  <si>
    <t xml:space="preserve">2023-07-31</t>
  </si>
  <si>
    <t xml:space="preserve">https://newrelic.com/press-release/20230731</t>
  </si>
  <si>
    <t xml:space="preserve">Press release: 'values New Relic at an equity valuation of approximately $6.5 billion' (company-stated equity value; no EV stated). DEFM14A (https://www.sec.gov/Archives/edgar/data/1448056/000119312523241385/d484419ddefm14a.htm) states total funds required of ~$6.67bn and 71,020,661 shares outstanding at Sept 20, 2023 record date; Background/Qatalyst sections were beyond the fetchable portion so unaffected price, dollar VWAP and any May 2023 press-report unaffected date were NOT found; un_date is the last trading day before announcement used as the premium reference date, not a confirmed pre-leak date. Closing date 2023-11-08 per New Relic completion press release/8-K filed 2023-11-08. Q1 FY24 (Jun 30, 2023) 10-Q was filed after announcement so not used.</t>
  </si>
  <si>
    <t xml:space="preserve">P01</t>
  </si>
  <si>
    <t xml:space="preserve">Splunk Inc.</t>
  </si>
  <si>
    <t xml:space="preserve">Cisco Systems</t>
  </si>
  <si>
    <t xml:space="preserve">2023-09-21</t>
  </si>
  <si>
    <t xml:space="preserve">https://www.sec.gov/Archives/edgar/data/1353283/000110465923102594/tm2326347d1_ex99-1.htm</t>
  </si>
  <si>
    <t xml:space="preserve">EV not stated by company; equity value ~$28bn rounded; debt = convertible notes carrying value; cash = cash + current investments at 2023-07-31 (10-Q). Premium and unaffected close from secondary press only.</t>
  </si>
  <si>
    <t xml:space="preserve">P04</t>
  </si>
  <si>
    <t xml:space="preserve">Alteryx Inc.</t>
  </si>
  <si>
    <t xml:space="preserve">Clearlake Capital / Insight Partners</t>
  </si>
  <si>
    <t xml:space="preserve">2023-12-18</t>
  </si>
  <si>
    <t xml:space="preserve">https://www.sec.gov/Archives/edgar/data/1689923/000119312523298609/d676158dex991.htm</t>
  </si>
  <si>
    <t xml:space="preserve">EV $4.4bn stated 'including debt'; equity $3.46bn from Reuters (media). Debt/cash at 2023-09-30 are carrying values (convertible notes + term debt; cash + ST investments). Competing-bid claim by TechCrunch not confirmed.</t>
  </si>
  <si>
    <t xml:space="preserve">P05</t>
  </si>
  <si>
    <t xml:space="preserve">Juniper Networks</t>
  </si>
  <si>
    <t xml:space="preserve">Hewlett Packard Enterprise</t>
  </si>
  <si>
    <t xml:space="preserve">2024-01-09</t>
  </si>
  <si>
    <t xml:space="preserve">https://hpe.com/us/en/newsroom/press-release/2024/01/hpe-to-acquire-juniper-networks-to-accelerate-ai-driven-innovation.html</t>
  </si>
  <si>
    <t xml:space="preserve">Sector set to Hardware OEM (networking equipment) = outside Phase 1 primary sectors; kept in raw data so the frozen exclusion rule is exercised. vwap_30 field holds the DEFM14A one-month VWAP 29.45. Equity value ~$14bn is HPE's rounded figure (shares x price ~ $12.97bn); long-term debt only.</t>
  </si>
  <si>
    <t xml:space="preserve">L40</t>
  </si>
  <si>
    <t xml:space="preserve">Ansys</t>
  </si>
  <si>
    <t xml:space="preserve">Synopsys</t>
  </si>
  <si>
    <t xml:space="preserve">2024-01-16</t>
  </si>
  <si>
    <t xml:space="preserve">https://news.synopsys.com/2024-01-16-Synopsys-to-Acquire-Ansys,-Creating-a-Leader-in-Silicon-to-Systems-Design-Solutions</t>
  </si>
  <si>
    <t xml:space="preserve">Consideration $197.00 cash + 0.3450 SNPS shares per Ansys share. Offer price 390.19 = DEFM14A implied value on SNPS $559.96 close of Dec 21, 2023 (premium basis); on Jan 12, 2024 close ($494.40) implied value was $367.57. EV approx $35bn stated by Synopsys. Ansys unaffected dollar price and equity value not found. DEFM14A: 87,299,981 basic shares at record date. Close date July 17, 2025 per Synopsys completion release (search listing).</t>
  </si>
  <si>
    <t xml:space="preserve">L27</t>
  </si>
  <si>
    <t xml:space="preserve">Everbridge, Inc.</t>
  </si>
  <si>
    <t xml:space="preserve">2024-02-05</t>
  </si>
  <si>
    <t xml:space="preserve">https://www.thomabravo.com/press-releases/everbridge-enters-into-amended-merger-agreement-with-thoma-bravo</t>
  </si>
  <si>
    <t xml:space="preserve">Original merger agreement dated 2024-02-04 (announced 2024-02-05) at $28.60/share (implied by the March 1 release: $35.00 is '$6.40 per share higher'); amended 2024-03-01 to $35.00 (final). ann uses the original announcement; premium reference date 2024-02-02 is from the original. March 1 release: 'values Everbridge at approximately $1.8 billion' (equity vs EV not specified; a Cooley-hosted copy mentions $1.5bn only in its URL slug). LTM based on last quarter reported before the Feb 5 announcement (Q3 2023); FY2023 10-K was filed 2024-02-27 (before the amendment): FY23 revenue 448,788k, op loss (61,399)k, D&amp;A 58,815k. 41,462,726 shares outstanding at Mar 19, 2024 record date (DEFM14A https://www.sec.gov/Archives/edgar/data/1437352/000119312524073284/d809325ddefm14a.htm). Close date 2024-07-01 from Business Wire release 'Thoma Bravo Completes Acquisition of Everbridge' (date inferred from URL 20240701).</t>
  </si>
  <si>
    <t xml:space="preserve">L48</t>
  </si>
  <si>
    <t xml:space="preserve">Model N</t>
  </si>
  <si>
    <t xml:space="preserve">2024-04-08</t>
  </si>
  <si>
    <t xml:space="preserve">https://www.sec.gov/Archives/edgar/data/1118417/000119312524089150/d766245dex991.htm ; https://www.sec.gov/Archives/edgar/data/1118417/000119312524138940/d823552ddefm14a.htm ; https://www.sec.gov/Archives/edgar/data/1118417/000119312524170493/d796513d8k.htm</t>
  </si>
  <si>
    <t xml:space="preserve">Press release: 'all-cash transaction valued at approximately $1.25 billion' - not labeled equity vs enterprise (htype set to consideration); no EV/equity value stated. DEFM14A also cites ~17% premium to 90-trading-day VWAP of closing prices $25.62 (not 30-day) so vwap null. 39,422,997 basic shares at 2024-05-08 record date; diluted count not found. Unaffected date chosen as last trading day before announcement (filing doesn't use the word 'unaffected'). Closed 2024-06-27 per 8-K Item 2.01.</t>
  </si>
  <si>
    <t xml:space="preserve">L29</t>
  </si>
  <si>
    <t xml:space="preserve">Squarespace, Inc.</t>
  </si>
  <si>
    <t xml:space="preserve">Permira</t>
  </si>
  <si>
    <t xml:space="preserve">2024-05-13</t>
  </si>
  <si>
    <t xml:space="preserve">Internet / Digital Platform</t>
  </si>
  <si>
    <t xml:space="preserve">https://www.sec.gov/Archives/edgar/data/1496963/000149696324000038/sqsp-05132024x8kexhibit991.htm</t>
  </si>
  <si>
    <t xml:space="preserve">Original agreement 2024-05-13 at $44.00 (equity value 'over $6.6 billion', EV 'approximately $6.9 billion' per release; Aug 22, 2024 DEFM14A https://www.sec.gov/Archives/edgar/data/1496963/000114036124038138/ny20030653x9_defm14a.htm still at $44.00). On 2024-09-09 Permira raised to $46.50 'best and final', converted to a tender offer; release gives 'aggregate transaction value of approximately $7.2 billion' (not labeled equity or EV), used as head with htype consideration (https://www.sec.gov/Archives/edgar/data/1496963/000114036124040626/ny20030653x13_ex99-1.htm). Buyer: Permira Advisers (Guernsey/UK domiciled; bc set GB), with Accel and General Atlantic co-investing and founder rollover (Schedule 13E-3 going-private). Close 2024-10-17 per SC 13D/A (tender offer consummated and merger effective that day).</t>
  </si>
  <si>
    <t xml:space="preserve">L31</t>
  </si>
  <si>
    <t xml:space="preserve">Envestnet</t>
  </si>
  <si>
    <t xml:space="preserve">Bain Capital</t>
  </si>
  <si>
    <t xml:space="preserve">2024-07-11</t>
  </si>
  <si>
    <t xml:space="preserve">https://www.sec.gov/Archives/edgar/data/1337619/000121390024060651/ea020926101ex99-1_envestnet.htm</t>
  </si>
  <si>
    <t xml:space="preserve">Press release: 'valuing the Company at $4.5 billion ($63.15 per share)'; it does not label this equity vs enterprise value, so htype=consideration and eq/ev left null (basic shares ~55.2m x 63.15 is ~$3.5bn, so $4.5bn appears to include debt, but this is not stated). Press reports of Bain talks preceded announcement, so the 7/10/2024 close of $61.70 is NOT a true unaffected price; un_px left null. Close date from 8-K press release dated 2024-11-25. Reverence Capital and rollover holders (BlackRock, Fidelity) participated. DEFM14A text was truncated by fetch tool after ~100k chars; premium/VWAP sections not seen. Financials built from XBRL R-pages of the filed 10-K/10-Q (FY + current YTD - prior YTD). Description quoted via fetch tool; whitespace may differ slightly. Prior-year LTM not built (prior-year YTD comparatives for the earlier period not retrieved).</t>
  </si>
  <si>
    <t xml:space="preserve">L28</t>
  </si>
  <si>
    <t xml:space="preserve">Instructure Holdings, Inc.</t>
  </si>
  <si>
    <t xml:space="preserve">KKR</t>
  </si>
  <si>
    <t xml:space="preserve">2024-07-25</t>
  </si>
  <si>
    <t xml:space="preserve">https://www.sec.gov/Archives/edgar/data/1841804/000119312524184366/d873629dex991.htm</t>
  </si>
  <si>
    <t xml:space="preserve">Press release states 'enterprise value of approximately $4.8 billion'; no equity value stated. Thoma Bravo (majority owner) acted by written consent so no DEFM14A was located. Close date 2024-11-13 per 8-K Item 2.01 (accession 0001193125-24-257230). Debt is net carrying value of term loan; face value not retrieved.</t>
  </si>
  <si>
    <t xml:space="preserve">P07</t>
  </si>
  <si>
    <t xml:space="preserve">Smartsheet Inc.</t>
  </si>
  <si>
    <t xml:space="preserve">Blackstone / Vista Equity Partners</t>
  </si>
  <si>
    <t xml:space="preserve">2024-09-24</t>
  </si>
  <si>
    <t xml:space="preserve">https://www.blackstone.com/news/press/smartsheet-to-be-acquired-by-blackstone-and-vista-equity-partners-for-8-4-billion/</t>
  </si>
  <si>
    <t xml:space="preserve">Equity consideration ~$8.4bn; ADIA co-investor (sponsor consortium). Debt 0 inferred from absence of debt line items in 8-K summary.</t>
  </si>
  <si>
    <t xml:space="preserve">L30</t>
  </si>
  <si>
    <t xml:space="preserve">Zuora, Inc.</t>
  </si>
  <si>
    <t xml:space="preserve">Silver Lake and GIC</t>
  </si>
  <si>
    <t xml:space="preserve">2024-10-17</t>
  </si>
  <si>
    <t xml:space="preserve">https://www.sec.gov/Archives/edgar/data/1423774/000114036124043596/ef20037350_ex99-1.htm</t>
  </si>
  <si>
    <t xml:space="preserve">Press release: 'valued at $1.7 billion' (equity vs EV not specified; it also cites a $1.3 billion EV base for a 20% EV premium, so $1.7bn is not confirmed as EV or equity; DEFM14A equity value/EV section was beyond fetchable portion). 30-day VWAP not stated; only 60-day VWAP $8.73. 154,480,449 shares outstanding at Dec 31, 2024 record date (DEFM14A https://www.sec.gov/Archives/edgar/data/1423774/000119312524287171/d765772ddefm14a.htm). Debt is carrying value of long-term debt line (instrument detail not retrieved). Close 2025-02-14 per 8-K Item 2.01 introductory note (accession 0001140361-25-004515). Buyer: Silver Lake (US) with GIC (Singapore sovereign fund).</t>
  </si>
  <si>
    <t xml:space="preserve">P06</t>
  </si>
  <si>
    <t xml:space="preserve">Altair Engineering</t>
  </si>
  <si>
    <t xml:space="preserve">Siemens</t>
  </si>
  <si>
    <t xml:space="preserve">2024-10-30</t>
  </si>
  <si>
    <t xml:space="preserve">https://www.sec.gov/Archives/edgar/data/1701732/000119312524247631/d859065dex991.htm</t>
  </si>
  <si>
    <t xml:space="preserve">EV ~$10bn from Siemens release; equity $10.6bn from Altair release (different documents). Debt = convertible notes only.</t>
  </si>
  <si>
    <t xml:space="preserve">L35</t>
  </si>
  <si>
    <t xml:space="preserve">SolarWinds</t>
  </si>
  <si>
    <t xml:space="preserve">Turn/River Capital</t>
  </si>
  <si>
    <t xml:space="preserve">2025-02-07</t>
  </si>
  <si>
    <t xml:space="preserve">https://www.sec.gov/Archives/edgar/data/1739942/000119312525022306/d910729dex991.htm</t>
  </si>
  <si>
    <t xml:space="preserve">Press release: 'for $18.50 per share or approximately $4.4 billion' and 'a total enterprise value of $4.4 billion'; equity value not separately stated. Premium reference is a 90-trading-day VWAP (not a 30-day VWAP), so vwap left null. Close date 2025-04-16 per completion release. Financials built from XBRL R-pages of the filed 10-K/10-Q (FY + current YTD - prior YTD). Description quoted via fetch tool; whitespace may differ slightly. Prior-year LTM not built (prior-year YTD comparatives for the earlier period not retrieved).</t>
  </si>
  <si>
    <t xml:space="preserve">L44</t>
  </si>
  <si>
    <t xml:space="preserve">Dun &amp; Bradstreet</t>
  </si>
  <si>
    <t xml:space="preserve">2025-03-24</t>
  </si>
  <si>
    <t xml:space="preserve">https://investor.dnb.com/news-releases/news-release-details/dun-bradstreet-enters-definitive-agreement-be-acquired-clearlake ; https://www.sec.gov/Archives/edgar/data/1799208/000110465925047992/tm2513251-2_defm14a.htm ; https://www.sec.gov/Archives/edgar/data/1799208/000179920825000012/dnb-20241231.htm</t>
  </si>
  <si>
    <t xml:space="preserve">Press release: 'transaction valued at $7.7 billion, including outstanding debt' and 'equity value of $4.1 billion' (company-stated). Stock was depressed vs. earlier: media reports Aug 2 2024 of strategic review (close $11.82; $10.29 on Aug 1 2024 per DEFM14A) so 2025-03-21 price $8.73 is NOT clean of earlier leak effects; a true pre-leak unaffected date is arguably 2024-08-01 ($10.29). Implied premium to 3/21/25 close from filed numbers ~4.8% (computed by tool, not stated). DEFM14A 30-day VWAP $9.37 on 2024-07-18 relates to Party B proposal, not the final deal, so vwap null. D&amp;A 577.6 taken from earnings release exhibit to 8-K (filed), includes amortization of acquired intangibles/capitalized software. Diluted shares: only FY2024 weighted avg GAAP diluted 432.4M available; not a deal share count so dil null. Closed 2025-08-26 per 8-K.</t>
  </si>
  <si>
    <t xml:space="preserve">L43</t>
  </si>
  <si>
    <t xml:space="preserve">Informatica</t>
  </si>
  <si>
    <t xml:space="preserve">Salesforce</t>
  </si>
  <si>
    <t xml:space="preserve">2025-05-27</t>
  </si>
  <si>
    <t xml:space="preserve">https://www.salesforce.com/news/press-releases/2025/05/27/salesforce-signs-definitive-agreement-to-acquire-informatica/ ; https://www.sec.gov/Archives/edgar/data/1868778/000119312525158774/d74603ddefm14c.htm ; https://www.sec.gov/Archives/edgar/data/1868778/000110465925113667/tm2531245d7_8k.htm</t>
  </si>
  <si>
    <t xml:space="preserve">Press release: 'About $8 billion, net of Salesforce's existing investment in Informatica' (equity value, rounded; no exact figure). No premium, unaffected price, EV or VWAP stated in press release, 8-K or DEFM14C (written-consent information statement, so no proxy premium table). DEFM14C mentions WSJ report of advanced Salesforce talks on 2024-04-12 and a Feb 14 2025 close of $19.75 (after 22% drop from $25.17) but does not label an unaffected date; un_* left null. Merger agreement dated 2025-05-26; announced 2025-05-27; closed 2025-11-18 per 8-K Item 2.01. Diluted shares not stated (303,446,273 Class A+B-1 outstanding at 2025-05-26 record date is basic).</t>
  </si>
  <si>
    <t xml:space="preserve">L33</t>
  </si>
  <si>
    <t xml:space="preserve">Couchbase</t>
  </si>
  <si>
    <t xml:space="preserve">Haveli Investments</t>
  </si>
  <si>
    <t xml:space="preserve">2025-06-20</t>
  </si>
  <si>
    <t xml:space="preserve">https://www.sec.gov/Archives/edgar/data/1845022/000119312525143735/d934361dex991.htm</t>
  </si>
  <si>
    <t xml:space="preserve">Release: 'all-cash transaction valued at approximately $1.5 billion' (not labelled equity or EV); htype=consideration. Unaffected date chosen as 2025-03-27 (pre Haveli strategic investment announcement); 2025-06-18 is the pre-announcement close (29% premium). Close date taken from Couchbase completion release dated 2025-09-24 (assumed same day; closing date not separately verified in an 8-K). Financials built from XBRL R-pages of the filed 10-K/10-Q (FY + current YTD - prior YTD). Description quoted via fetch tool; whitespace may differ slightly. Prior-year LTM not built (prior-year YTD comparatives for the earlier period not retrieved).</t>
  </si>
  <si>
    <t xml:space="preserve">L34</t>
  </si>
  <si>
    <t xml:space="preserve">Olo</t>
  </si>
  <si>
    <t xml:space="preserve">2025-07-03</t>
  </si>
  <si>
    <t xml:space="preserve">https://www.sec.gov/Archives/edgar/data/1431695/000114036125024753/ef20051581_ex99-1.htm</t>
  </si>
  <si>
    <t xml:space="preserve">Equity value 'approximately $2.0 billion' per press release; no EV stated. Q2'25 10-Q was filed after announcement and not used. Close date 2025-09-12 per Thoma Bravo/Olo completion release. Financials built from XBRL R-pages of the filed 10-K/10-Q (FY + current YTD - prior YTD). Description quoted via fetch tool; whitespace may differ slightly. Prior-year LTM not built (prior-year YTD comparatives for the earlier period not retrieved).</t>
  </si>
  <si>
    <t xml:space="preserve">L37</t>
  </si>
  <si>
    <t xml:space="preserve">MeridianLink</t>
  </si>
  <si>
    <t xml:space="preserve">Centerbridge Partners</t>
  </si>
  <si>
    <t xml:space="preserve">2025-08-11</t>
  </si>
  <si>
    <t xml:space="preserve">https://www.sec.gov/Archives/edgar/data/1834494/000119312525177535/d949966dex991.htm</t>
  </si>
  <si>
    <t xml:space="preserve">Headline $2.0bn = company-stated 'approximately $2.0 billion' enterprise value (Centerbridge release). Equity value and diluted shares not stated in material read (74,195,939 basic shares at 6/30/25 per Q2 release). Close date: Centerbridge release dateline Oct 24, 2025 (Goodwin/PDF filename suggests Oct 22 - unreconciled). Unaffected price from preliminary PREM14A. PREM14A says total funds needed ~$2.39bn.</t>
  </si>
  <si>
    <t xml:space="preserve">L39</t>
  </si>
  <si>
    <t xml:space="preserve">Dayforce</t>
  </si>
  <si>
    <t xml:space="preserve">2025-08-21</t>
  </si>
  <si>
    <t xml:space="preserve">https://www.sec.gov/Archives/edgar/data/1725057/000119312525184632/d949165dex991.htm</t>
  </si>
  <si>
    <t xml:space="preserve">EV $12.3bn is company/buyer-stated ('US$12.3 billion'). Equity value, unaffected dollar price and VWAP not found in material read (DEFM14A: 158,006,476 basic shares + 1,950,866 exchangeable special voting share shares). D&amp;A in H1'23 (45.4) vs H1'24 (99.4) differs sharply; used as reported. Close date per Thoma Bravo completion release dated Feb 4, 2026. Dayforce also TSX-listed (US-incorporated, US-HQ Minneapolis).</t>
  </si>
  <si>
    <t xml:space="preserve">L36</t>
  </si>
  <si>
    <t xml:space="preserve">Verint Systems</t>
  </si>
  <si>
    <t xml:space="preserve">2025-08-25</t>
  </si>
  <si>
    <t xml:space="preserve">https://www.sec.gov/Archives/edgar/data/1166388/000119312525187836/d20307dex991.htm</t>
  </si>
  <si>
    <t xml:space="preserve">Press release: 'all-cash transaction reflecting an enterprise value of $2 billion'; equity value not stated. Unaffected reference is a 10-day VWAP, not a close, so un_px and vwap left null. Close 2025-11-26 per Thoma Bravo release (announced 2025-12-09 per fetch summary). Thoma Bravo combined Verint with Calabrio. Financials built from XBRL R-pages of the filed 10-K/10-Q (FY + current YTD - prior YTD). Description quoted via fetch tool; whitespace may differ slightly. Prior-year LTM not built (prior-year YTD comparatives for the earlier period not retrieved).</t>
  </si>
  <si>
    <t xml:space="preserve">L38</t>
  </si>
  <si>
    <t xml:space="preserve">PROS Holdings</t>
  </si>
  <si>
    <t xml:space="preserve">2025-09-22</t>
  </si>
  <si>
    <t xml:space="preserve">https://www.sec.gov/Archives/edgar/data/1392972/000119312525210084/d81030dex991.htm</t>
  </si>
  <si>
    <t xml:space="preserve">Headline $1.4bn is release wording 'valuing PROS at approximately $1.4 billion' - not labeled equity vs EV, so htype=consideration; eq/ev left null. DEFM14A: 48,297,780 basic shares; total funding need ~$1.57bn (includes convert settlement, debt payoff, fees). 30-day VWAP dollar value not stated (only 53.2% premium). Close date = Thoma Bravo completion release dated Dec 9, 2025. Release also notes sale of PROS B2B business to Conga expected later (not relevant to price).</t>
  </si>
  <si>
    <t xml:space="preserve">L32</t>
  </si>
  <si>
    <t xml:space="preserve">Jamf Holding</t>
  </si>
  <si>
    <t xml:space="preserve">2025-10-29</t>
  </si>
  <si>
    <t xml:space="preserve">https://www.businesswire.com/news/home/20251029315180/en</t>
  </si>
  <si>
    <t xml:space="preserve">Release states 'valued at approximately $2.2 billion' without specifying equity vs EV; htype=consideration. Release does not use the word 'unaffected'; Sept 11, 2025 is the end date of the 90-day VWAP window and is used as a reference date only. Press release dateline not shown in fetched text; announcement date 2025-10-29 inferred from the Business Wire URL id and press coverage. Q3'25 10-Q (filed after announcement) not used. Cash rose after term loan draw in 1H25. Close 2026-01-30 per Jamf/Francisco Partners completion release. Vista and Summit Partners were holders. Financials built from XBRL R-pages of the filed 10-K/10-Q (FY + current YTD - prior YTD). Description quoted via fetch tool; whitespace may differ slightly. Prior-year LTM not built (prior-year YTD comparatives for the earlier period not retrieved).</t>
  </si>
  <si>
    <t xml:space="preserve">Summary - live formulas from Deal_Dataset</t>
  </si>
  <si>
    <t xml:space="preserve">Deals in dataset</t>
  </si>
  <si>
    <t xml:space="preserve">Deals in EV/Revenue sample</t>
  </si>
  <si>
    <t xml:space="preserve">Deals in takeover-premium sample</t>
  </si>
  <si>
    <t xml:space="preserve">Broad-AI deals in EV/Rev sample</t>
  </si>
  <si>
    <t xml:space="preserve">Strict-AI deals in EV/Rev sample</t>
  </si>
  <si>
    <t xml:space="preserve">Mean EV/Revenue - broad AI (x)</t>
  </si>
  <si>
    <t xml:space="preserve">Mean EV/Revenue - non-AI (x)</t>
  </si>
  <si>
    <t xml:space="preserve">Mean EV/Revenue - all sample (x)</t>
  </si>
  <si>
    <t xml:space="preserve">Mean revenue growth - broad AI</t>
  </si>
  <si>
    <t xml:space="preserve">Mean revenue growth - non-AI</t>
  </si>
  <si>
    <t xml:space="preserve">Mean 1-day premium - broad AI</t>
  </si>
  <si>
    <t xml:space="preserve">Mean 1-day premium - non-AI</t>
  </si>
  <si>
    <t xml:space="preserve">Medians (computed in Python; values)</t>
  </si>
  <si>
    <t xml:space="preserve">Median EV/Revenue - broad AI (x)</t>
  </si>
  <si>
    <t xml:space="preserve">Median EV/Revenue - non-AI (x)</t>
  </si>
  <si>
    <t xml:space="preserve">Median 1-day premium - broad AI</t>
  </si>
  <si>
    <t xml:space="preserve">Median 1-day premium - non-AI</t>
  </si>
  <si>
    <t xml:space="preserve">Means are sensitive to outliers (e.g., Slack 36x); medians are the preferred comparison. Unadjusted - not an 'AI premium'.</t>
  </si>
  <si>
    <t xml:space="preserve">Company</t>
  </si>
  <si>
    <t xml:space="preserve">Coder 1</t>
  </si>
  <si>
    <t xml:space="preserve">Coder 2</t>
  </si>
  <si>
    <t xml:space="preserve">Agree?</t>
  </si>
  <si>
    <t xml:space="preserve">Final</t>
  </si>
  <si>
    <t xml:space="preserve">Subsector</t>
  </si>
  <si>
    <t xml:space="preserve">Coder 1 rationale</t>
  </si>
  <si>
    <t xml:space="preserve">Coder 2 rationale</t>
  </si>
  <si>
    <t xml:space="preserve">Adjudication</t>
  </si>
  <si>
    <t xml:space="preserve">Altair’s pre-deal portfolio included AI/data science, MLOps, AutoML and machine-learning workflows, but simulation/design and HPC remained major products that function without ML. AI was an important capability and product line, not clearly the defining target-level product.</t>
  </si>
  <si>
    <t xml:space="preserve">The FY2023 filing documents dedicated AI/data-science and ML workflow offerings alongside simulation, design and HPC. Because the overall suite is broader than AI and no AI-specific revenue split is documented, intensity is 1.</t>
  </si>
  <si>
    <t xml:space="preserve">Coders agreed on intensity; coder 1 values recorded as final (procedural, no disagreement to resolve).</t>
  </si>
  <si>
    <t xml:space="preserve">Alteryx offered ML/AutoML, NLP, OCR, model training/explainability and AI-driven insight products before the deal. These are commercial capabilities within a broader analytics-automation platform; data preparation and workflow automation still function without ML, and no AI-specific revenue split was documented.</t>
  </si>
  <si>
    <t xml:space="preserve">The 2022 Form 10-K and 2021 product announcement document ML modeling, AutoML and NLP/computer-vision features. They establish an AI-enabled offering and persistence, but not that the whole platform is AI-native or that AI represents material standalone revenue.</t>
  </si>
  <si>
    <t xml:space="preserve">Couchbase Server 7.6 added vector search and integrations for semantic search/RAG in March 2024, more than 12 months before the announcement. The main NoSQL database remains useful without AI, and the documented workflow uses chosen external embedding models/LLMs rather than Couchbase’s own trained models.</t>
  </si>
  <si>
    <t xml:space="preserve">Pre-deal technical documentation shows vector indexing and AI-application integrations, so AI enabled some use cases and passes persistence. The primary product is still a general-purpose operational database, not an AI model or AI-specific infrastructure platform.</t>
  </si>
  <si>
    <t xml:space="preserve">Cvent’s pre-deal Form 10-K describes Event Cloud and Hospitality Cloud products for event planning, registration, venue sourcing and event management. The reviewed contemporaneous disclosure does not identify AI/ML as a core or enabling product feature.</t>
  </si>
  <si>
    <t xml:space="preserve">At the April 2016 announcement date, Cvent was a cloud event/hospitality management platform; the referenced annual report does not document model-dependent products, AI technical assets or AI-linked revenue.</t>
  </si>
  <si>
    <t xml:space="preserve">The pre-deal 2022 Form 10-K describes cloud SaaS core systems for insurance policy administration, billing, claims, rating and underwriting. The reviewed pre-announcement evidence does not document AI/ML as a product dependency, proprietary AI asset or material revenue driver.</t>
  </si>
  <si>
    <t xml:space="preserve">Duck Creek’s pre-announcement disclosures center on configurable SaaS insurance operations and core systems, not model-based products. References to data insights do not by themselves establish AI, and no qualifying AI asset or revenue evidence was found.</t>
  </si>
  <si>
    <t xml:space="preserve">Envestnet’s FY2023 Form 10-K describes wealth-management technology, financial planning, asset allocation, portfolio tools, data aggregation and analytics. The filing does not document AI/ML as a product dependency or identify proprietary models/material AI revenue, so generic ‘intelligence’ and analytics language is not enough to code AI.</t>
  </si>
  <si>
    <t xml:space="preserve">The pre-announcement disclosure centers on advisor software, portfolio construction/rebalancing, financial data and analytics. No specific pre-deal ML model or AI-native product was established from the reviewed source, so the conservative intensity is 0.</t>
  </si>
  <si>
    <t xml:space="preserve">Informatica’s CLAIRE engine applied metadata-driven AI and machine learning to recommendations and automation in data management. The main platform remained broader data integration, governance and quality software, so AI enabled the product rather than defining the whole company’s core function.</t>
  </si>
  <si>
    <t xml:space="preserve">A 2017 company announcement documents CLAIRE as a proprietary metadata-driven AI technology using ML. However, Informatica sold a broad data-management platform that would remain useful without CLAIRE, and AI-specific revenue was not reported.</t>
  </si>
  <si>
    <t xml:space="preserve">Marketo’s Real-Time Personalization predictive-content feature used machine-learning/predictive-analytics algorithms to recommend content, but the broader product was marketing automation. The cited release is from June 2015, just under 12 months before the May 31, 2016 announcement, so persistence fails.</t>
  </si>
  <si>
    <t xml:space="preserve">A historical Marketo release note documents ML-based predictive content recommendations. This is a real enabling feature but not the essential function of the marketing automation platform, and it misses the strict 12-month persistence cutoff.</t>
  </si>
  <si>
    <t xml:space="preserve">Medidata launched Acorn AI in April 2019, using its clinical-trial data assets and data-science capabilities for pharmaceutical research insights. The flagship business remained clinical-trial software, and the named AI initiative was announced less than 12 months before the deal, so persistence does not pass.</t>
  </si>
  <si>
    <t xml:space="preserve">Acorn AI shows a real AI/data-science capability built on Medidata’s clinical platform, but the overall offering remained broader clinical-trial software and data services. The newly branded AI business was too recent to establish 12-month persistence.</t>
  </si>
  <si>
    <t xml:space="preserve">A July 2021 company release describes Momentive’s AI-powered research solutions, so some AI-enabled survey/research capability predates the deal by more than 12 months. The core offering remains survey/experience-management SaaS; no proprietary model asset or material AI-specific revenue was identified.</t>
  </si>
  <si>
    <t xml:space="preserve">Momentive had AI-assisted research/analysis positioning before March 2023, but survey creation, collection and reporting can operate without AI. The available dated evidence supports level 1, not an AI-native label.</t>
  </si>
  <si>
    <t xml:space="preserve">New Relic’s observability platform added machine-learning anomaly detection, AI-assisted incident response and probable-root-cause guidance. Telemetry ingestion, querying and monitoring still work without those models, and no AI-specific material-revenue evidence was found.</t>
  </si>
  <si>
    <t xml:space="preserve">Pre-deal filings and product announcements document ML-based anomaly detection and AIOps, but the company’s core product remains a broad observability platform rather than a model-dependent AI product. AI positioning is documented more than 12 months before the announcement.</t>
  </si>
  <si>
    <t xml:space="preserve">5</t>
  </si>
  <si>
    <t xml:space="preserve">Pre-deal SEC filings describe Nuance as a conversational/cognitive AI leader and identify automated speech recognition, natural-language understanding, dialog management and clinical documentation as core offerings. Speech/language models are integral to what these products sell, and historical filings establish persistence well beyond 12 months.</t>
  </si>
  <si>
    <t xml:space="preserve">Nuance’s revenue-generating product set centered on speech recognition, NLU, conversational interfaces and ambient clinical intelligence; these functions depend on AI models rather than merely adding an assistant to conventional software. Its 2019 and 2020 filings provide pre-announcement evidence of persistence.</t>
  </si>
  <si>
    <t xml:space="preserve">Proofpoint documented machine learning in the Nexus People Risk Explorer risk model and threat-telemetry analysis. These features improve its cybersecurity/compliance suite, but email/cloud security remains broader than AI; the cited named-model release was only about seven months before the announcement.</t>
  </si>
  <si>
    <t xml:space="preserve">A September 2020 company release documents a machine-learning risk model, supporting a technical-asset pass and AI-enabled intensity. The larger product suite is not fundamentally model-dependent, and the documented feature is too recent for the 12-month persistence test.</t>
  </si>
  <si>
    <t xml:space="preserve">9</t>
  </si>
  <si>
    <t xml:space="preserve">PROS’s pre-announcement 2024 Form 10-K describes proprietary AI/ML, neural networks and reinforcement learning as the engine for price optimization, demand forecasting and airline revenue optimization. These predictive/prescriptive algorithms are intrinsic to the monetized product offering, and historical research/ML positioning is well established.</t>
  </si>
  <si>
    <t xml:space="preserve">The 2024 Form 10-K documents a SaaS business whose central promise is AI-driven pricing and revenue optimization, backed by decades of data-science work, neural networks and reinforcement learning. Removing the models would materially change the product being sold.</t>
  </si>
  <si>
    <t xml:space="preserve">Sumo Logic’s FY2021 Form 10-K says its Continuous Intelligence Platform uses AI/ML to analyze application, infrastructure, security and IoT data. The platform remains a log/analytics and security service without those capabilities, and the filing does not describe a sufficiently specific proprietary trained-model asset or AI-attributable revenue.</t>
  </si>
  <si>
    <t xml:space="preserve">AI/ML-based analysis was documented well before the February 2023 announcement, but it operated within a broader observability/SIEM platform. The evidence supports AI-enabled intensity and persistence, not AI-native treatment.</t>
  </si>
  <si>
    <t xml:space="preserve">At announcement, Tableau’s core was visual business intelligence and data visualization. Ask Data’s natural-language querying had launched only a few months earlier, making AI an enabling feature rather than an essential function; the 12-month persistence test therefore fails.</t>
  </si>
  <si>
    <t xml:space="preserve">The pre-deal product set was BI dashboards and visualization, with Ask Data adding natural-language interaction in February 2019. The feature supports an AI-enabled level, but was too recent to satisfy the rubric’s persistence threshold and does not make the main product model-dependent.</t>
  </si>
  <si>
    <t xml:space="preserve">Talend’s pre-deal Form 10-K documents machine-learning-enabled deduplication, validation and standardization in Talend Data Quality, as well as AI-enabled data matching. These were embedded/optional capabilities within a broader data integration and data-fabric platform.</t>
  </si>
  <si>
    <t xml:space="preserve">Historical SEC filings show AI/ML features in data quality and data transformation well before the announcement. However, the central product remains data integration/governance, and the sources do not establish proprietary model infrastructure or AI-specific revenue.</t>
  </si>
  <si>
    <t xml:space="preserve">3</t>
  </si>
  <si>
    <t xml:space="preserve">Verint’s FY2024 filing places Da Vinci AI at the platform core and describes a bot factory combining commercial, open-source, customer-provided and proprietary models to power AI bots across workflows. AI is central to the CX-automation/bot offering, although the company does not disclose a separate AI revenue share.</t>
  </si>
  <si>
    <t xml:space="preserve">Da Vinci AI and the AI-powered bot portfolio are platform-level capabilities documented before the announcement. I code the overall target more conservatively at level 1 because its broader suite also includes workforce engagement, analytics and other customer-engagement applications that do not all depend on AI.</t>
  </si>
  <si>
    <t xml:space="preserve">Adjudicated by project owner: Da Vinci AI / bot factory treated as platform core (coder 1 view); coder 2 coded the broader suite more conservatively.</t>
  </si>
  <si>
    <t xml:space="preserve">Cohen's kappa (strict AI, binary)</t>
  </si>
  <si>
    <t xml:space="preserve">Weighted kappa (0-3 intensity, quadratic)</t>
  </si>
  <si>
    <t xml:space="preserve">Intensity: 0 non-AI, 1 AI-enabled, 2 AI-native, 3 core AI infrastructure. Other 37 targets: not flagged by the AI keyword screen, assumed non-AI.</t>
  </si>
  <si>
    <t xml:space="preserve">Exploratory regressions - ln(EV/Revenue), HC3 robust standard errors (values from Python; not the pre-registered test)</t>
  </si>
  <si>
    <t xml:space="preserve">Specification</t>
  </si>
  <si>
    <t xml:space="preserve">Broad-AI coefficient (log pts)</t>
  </si>
  <si>
    <t xml:space="preserve">Approx. % difference</t>
  </si>
  <si>
    <t xml:space="preserve">95% CI low</t>
  </si>
  <si>
    <t xml:space="preserve">95% CI high</t>
  </si>
  <si>
    <t xml:space="preserve">Permutation p (2-sided)</t>
  </si>
  <si>
    <t xml:space="preserve">N</t>
  </si>
  <si>
    <t xml:space="preserve">AI N</t>
  </si>
  <si>
    <t xml:space="preserve">(1) broad AI only</t>
  </si>
  <si>
    <t xml:space="preserve">(2) + growth, margin, size</t>
  </si>
  <si>
    <t xml:space="preserve">(3) + period, strategic</t>
  </si>
  <si>
    <t xml:space="preserve">Precedent regression without AI label: ln(EV/Revenue) on growth, margin, size</t>
  </si>
  <si>
    <t xml:space="preserve">Term</t>
  </si>
  <si>
    <t xml:space="preserve">Coefficient</t>
  </si>
  <si>
    <t xml:space="preserve">HC3 SE</t>
  </si>
  <si>
    <t xml:space="preserve">p-value</t>
  </si>
  <si>
    <t xml:space="preserve">const</t>
  </si>
  <si>
    <t xml:space="preserve">revenue_growth</t>
  </si>
  <si>
    <t xml:space="preserve">ebitda_margin</t>
  </si>
  <si>
    <t xml:space="preserve">ln_revenue</t>
  </si>
  <si>
    <t xml:space="preserve">N = 31, adjusted R2 = 0.11</t>
  </si>
  <si>
    <t xml:space="preserve">Reading: no specification shows a positive AI association; CIs are wide because only 9 broad-AI deals have complete data. Growth/margin/size explain little of the multiple dispersion in this hand-picked set.</t>
  </si>
  <si>
    <t xml:space="preserve">outcome</t>
  </si>
  <si>
    <t xml:space="preserve">stage</t>
  </si>
  <si>
    <t xml:space="preserve">step</t>
  </si>
  <si>
    <t xml:space="preserve">total_N</t>
  </si>
  <si>
    <t xml:space="preserve">strict_AI_N</t>
  </si>
  <si>
    <t xml:space="preserve">non_AI_N</t>
  </si>
  <si>
    <t xml:space="preserve">AI_enabled_N(intensity=1)</t>
  </si>
  <si>
    <t xml:space="preserve">EV/Revenue</t>
  </si>
  <si>
    <t xml:space="preserve">Raw identified tech M&amp;A universe (post-dedupe)</t>
  </si>
  <si>
    <t xml:space="preserve">Correct period (2015-01-01..2026-09-30)</t>
  </si>
  <si>
    <t xml:space="preserve">Primary geography</t>
  </si>
  <si>
    <t xml:space="preserve">Primary sectors</t>
  </si>
  <si>
    <t xml:space="preserve">Control transactions</t>
  </si>
  <si>
    <t xml:space="preserve">Status: completed / definitive</t>
  </si>
  <si>
    <t xml:space="preserve">Structural exclusions removed</t>
  </si>
  <si>
    <t xml:space="preserve">EV available</t>
  </si>
  <si>
    <t xml:space="preserve">EV &gt;= $25m</t>
  </si>
  <si>
    <t xml:space="preserve">Revenue available</t>
  </si>
  <si>
    <t xml:space="preserve">Revenue &gt;= $5m</t>
  </si>
  <si>
    <t xml:space="preserve">Financial freshness (&lt;=365d, aligned)</t>
  </si>
  <si>
    <t xml:space="preserve">Quality A-C</t>
  </si>
  <si>
    <t xml:space="preserve">AI classification available (frozen Phase 3)</t>
  </si>
  <si>
    <t xml:space="preserve">Not acqui-hire / licence (acquihire_ai_flag = 0)</t>
  </si>
  <si>
    <t xml:space="preserve">EV/EBITDA</t>
  </si>
  <si>
    <t xml:space="preserve">EBITDA available</t>
  </si>
  <si>
    <t xml:space="preserve">EBITDA &gt; 0</t>
  </si>
  <si>
    <t xml:space="preserve">Takeover premium</t>
  </si>
  <si>
    <t xml:space="preserve">Public target</t>
  </si>
  <si>
    <t xml:space="preserve">Offer price available</t>
  </si>
  <si>
    <t xml:space="preserve">Unaffected price available</t>
  </si>
  <si>
    <t xml:space="preserve">Unaffected date valid (&lt; announcement)</t>
  </si>
</sst>
</file>

<file path=xl/styles.xml><?xml version="1.0" encoding="utf-8"?>
<styleSheet xmlns="http://schemas.openxmlformats.org/spreadsheetml/2006/main">
  <numFmts count="11">
    <numFmt numFmtId="164" formatCode="General"/>
    <numFmt numFmtId="165" formatCode="\$#,##0.00"/>
    <numFmt numFmtId="166" formatCode="#,##0"/>
    <numFmt numFmtId="167" formatCode="#,##0.0"/>
    <numFmt numFmtId="168" formatCode="#,##0.0;\(#,##0.0\)"/>
    <numFmt numFmtId="169" formatCode="0.0\x"/>
    <numFmt numFmtId="170" formatCode="0.0%;\(0.0%\)"/>
    <numFmt numFmtId="171" formatCode="0"/>
    <numFmt numFmtId="172" formatCode="0.0%"/>
    <numFmt numFmtId="173" formatCode="0.00"/>
    <numFmt numFmtId="174" formatCode="0.0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b val="true"/>
      <sz val="13"/>
      <name val="Arial"/>
      <family val="0"/>
      <charset val="1"/>
    </font>
    <font>
      <sz val="11"/>
      <color theme="1"/>
      <name val="Arial"/>
      <family val="0"/>
      <charset val="1"/>
    </font>
    <font>
      <sz val="10"/>
      <color rgb="FF008000"/>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5" fillId="3" borderId="1" xfId="0" applyFont="true" applyBorder="true" applyAlignment="false" applyProtection="false">
      <alignment horizontal="general" vertical="bottom" textRotation="0" wrapText="false" indent="0" shrinkToFit="false"/>
      <protection locked="true" hidden="false"/>
    </xf>
    <xf numFmtId="170" fontId="5"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23.8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3.8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26"/>
    <col collapsed="false" customWidth="true" hidden="false" outlineLevel="0" max="4" min="4" style="0" width="11"/>
    <col collapsed="false" customWidth="true" hidden="false" outlineLevel="0" max="5" min="5" style="0" width="10"/>
    <col collapsed="false" customWidth="true" hidden="false" outlineLevel="0" max="6" min="6" style="0" width="20"/>
    <col collapsed="false" customWidth="true" hidden="false" outlineLevel="0" max="7" min="7" style="0" width="10"/>
    <col collapsed="false" customWidth="true" hidden="false" outlineLevel="0" max="8" min="8" style="0" width="11"/>
    <col collapsed="false" customWidth="true" hidden="false" outlineLevel="0" max="9" min="9" style="0" width="12"/>
    <col collapsed="false" customWidth="true" hidden="false" outlineLevel="0" max="10" min="10" style="0" width="16"/>
    <col collapsed="false" customWidth="true" hidden="false" outlineLevel="0" max="13" min="11" style="0" width="11"/>
    <col collapsed="false" customWidth="true" hidden="false" outlineLevel="0" max="18" min="14" style="0" width="10"/>
    <col collapsed="false" customWidth="true" hidden="false" outlineLevel="0" max="19" min="19" style="0" width="9"/>
    <col collapsed="false" customWidth="true" hidden="false" outlineLevel="0" max="21" min="20" style="0" width="8"/>
    <col collapsed="false" customWidth="true" hidden="false" outlineLevel="0" max="23" min="22" style="0" width="9"/>
    <col collapsed="false" customWidth="true" hidden="false" outlineLevel="0" max="24" min="24" style="0" width="8"/>
    <col collapsed="false" customWidth="true" hidden="false" outlineLevel="0" max="25" min="25" style="0" width="40"/>
    <col collapsed="false" customWidth="true" hidden="false" outlineLevel="0" max="26" min="26" style="0" width="60"/>
  </cols>
  <sheetData>
    <row r="1" customFormat="false" ht="42" hidden="false" customHeight="true" outlineLevel="0" collapsed="false">
      <c r="A1" s="4" t="s">
        <v>14</v>
      </c>
      <c r="B1" s="4" t="s">
        <v>15</v>
      </c>
      <c r="C1" s="4" t="s">
        <v>16</v>
      </c>
      <c r="D1" s="4" t="s">
        <v>17</v>
      </c>
      <c r="E1" s="4" t="s">
        <v>18</v>
      </c>
      <c r="F1" s="4" t="s">
        <v>19</v>
      </c>
      <c r="G1" s="4" t="s">
        <v>20</v>
      </c>
      <c r="H1" s="4" t="s">
        <v>21</v>
      </c>
      <c r="I1" s="4" t="s">
        <v>22</v>
      </c>
      <c r="J1" s="4" t="s">
        <v>23</v>
      </c>
      <c r="K1" s="4" t="s">
        <v>24</v>
      </c>
      <c r="L1" s="4" t="s">
        <v>25</v>
      </c>
      <c r="M1" s="4" t="s">
        <v>26</v>
      </c>
      <c r="N1" s="4" t="s">
        <v>27</v>
      </c>
      <c r="O1" s="4" t="s">
        <v>28</v>
      </c>
      <c r="P1" s="4" t="s">
        <v>29</v>
      </c>
      <c r="Q1" s="4" t="s">
        <v>30</v>
      </c>
      <c r="R1" s="4" t="s">
        <v>31</v>
      </c>
      <c r="S1" s="4" t="s">
        <v>32</v>
      </c>
      <c r="T1" s="4" t="s">
        <v>33</v>
      </c>
      <c r="U1" s="4" t="s">
        <v>34</v>
      </c>
      <c r="V1" s="4" t="s">
        <v>35</v>
      </c>
      <c r="W1" s="4" t="s">
        <v>36</v>
      </c>
      <c r="X1" s="4" t="s">
        <v>37</v>
      </c>
      <c r="Y1" s="4" t="s">
        <v>38</v>
      </c>
      <c r="Z1" s="4" t="s">
        <v>39</v>
      </c>
    </row>
    <row r="2" customFormat="false" ht="15" hidden="false" customHeight="false" outlineLevel="0" collapsed="false">
      <c r="A2" s="5" t="s">
        <v>40</v>
      </c>
      <c r="B2" s="5" t="s">
        <v>41</v>
      </c>
      <c r="C2" s="5" t="s">
        <v>42</v>
      </c>
      <c r="D2" s="5" t="s">
        <v>43</v>
      </c>
      <c r="E2" s="5" t="s">
        <v>44</v>
      </c>
      <c r="F2" s="5" t="s">
        <v>45</v>
      </c>
      <c r="G2" s="6" t="n">
        <v>48.75</v>
      </c>
      <c r="H2" s="6"/>
      <c r="I2" s="7"/>
      <c r="J2" s="8" t="s">
        <v>46</v>
      </c>
      <c r="K2" s="9" t="n">
        <v>1047.954</v>
      </c>
      <c r="L2" s="9" t="n">
        <v>948.171</v>
      </c>
      <c r="M2" s="10" t="n">
        <v>207.679</v>
      </c>
      <c r="N2" s="11" t="str">
        <f aca="false">IF(AND(ISNUMBER(I2),ISNUMBER(K2),K2&gt;0),I2/K2,"")</f>
        <v/>
      </c>
      <c r="O2" s="12" t="n">
        <f aca="false">IF(AND(ISNUMBER(K2),ISNUMBER(L2),L2&gt;0),K2/L2-1,"")</f>
        <v>0.105237346428018</v>
      </c>
      <c r="P2" s="12" t="n">
        <f aca="false">IF(AND(ISNUMBER(M2),ISNUMBER(K2),K2&gt;0),M2/K2,"")</f>
        <v>0.198175683283808</v>
      </c>
      <c r="Q2" s="11" t="str">
        <f aca="false">IF(AND(ISNUMBER(I2),ISNUMBER(M2),M2&gt;0),I2/M2,"")</f>
        <v/>
      </c>
      <c r="R2" s="12" t="str">
        <f aca="false">IF(AND(ISNUMBER(G2),ISNUMBER(H2),H2&gt;0),G2/H2-1,"")</f>
        <v/>
      </c>
      <c r="S2" s="8" t="n">
        <v>1</v>
      </c>
      <c r="T2" s="5" t="n">
        <f aca="false">IF(ISNUMBER(S2),IF(S2&gt;=1,1,0),"")</f>
        <v>1</v>
      </c>
      <c r="U2" s="5" t="n">
        <f aca="false">IF(ISNUMBER(S2),IF(S2&gt;=2,1,0),"")</f>
        <v>0</v>
      </c>
      <c r="V2" s="5" t="n">
        <v>0</v>
      </c>
      <c r="W2" s="5" t="n">
        <v>0</v>
      </c>
      <c r="X2" s="5" t="s">
        <v>47</v>
      </c>
      <c r="Y2" s="13" t="s">
        <v>48</v>
      </c>
      <c r="Z2" s="13" t="s">
        <v>49</v>
      </c>
    </row>
    <row r="3" customFormat="false" ht="15" hidden="false" customHeight="false" outlineLevel="0" collapsed="false">
      <c r="A3" s="13" t="s">
        <v>50</v>
      </c>
      <c r="B3" s="13" t="s">
        <v>51</v>
      </c>
      <c r="C3" s="13" t="s">
        <v>52</v>
      </c>
      <c r="D3" s="13" t="s">
        <v>53</v>
      </c>
      <c r="E3" s="13" t="s">
        <v>44</v>
      </c>
      <c r="F3" s="13" t="s">
        <v>54</v>
      </c>
      <c r="G3" s="14" t="n">
        <v>36</v>
      </c>
      <c r="H3" s="14"/>
      <c r="I3" s="15" t="n">
        <v>1504.539</v>
      </c>
      <c r="J3" s="16" t="s">
        <v>55</v>
      </c>
      <c r="K3" s="17" t="n">
        <v>187.716</v>
      </c>
      <c r="L3" s="17" t="n">
        <v>142.245</v>
      </c>
      <c r="M3" s="18" t="n">
        <v>3.723</v>
      </c>
      <c r="N3" s="19" t="n">
        <f aca="false">IF(AND(ISNUMBER(I3),ISNUMBER(K3),K3&gt;0),I3/K3,"")</f>
        <v>8.01497474908905</v>
      </c>
      <c r="O3" s="20" t="n">
        <f aca="false">IF(AND(ISNUMBER(K3),ISNUMBER(L3),L3&gt;0),K3/L3-1,"")</f>
        <v>0.319666772118528</v>
      </c>
      <c r="P3" s="20" t="n">
        <f aca="false">IF(AND(ISNUMBER(M3),ISNUMBER(K3),K3&gt;0),M3/K3,"")</f>
        <v>0.0198331522086556</v>
      </c>
      <c r="Q3" s="19" t="n">
        <f aca="false">IF(AND(ISNUMBER(I3),ISNUMBER(M3),M3&gt;0),I3/M3,"")</f>
        <v>404.120064464142</v>
      </c>
      <c r="R3" s="20" t="str">
        <f aca="false">IF(AND(ISNUMBER(G3),ISNUMBER(H3),H3&gt;0),G3/H3-1,"")</f>
        <v/>
      </c>
      <c r="S3" s="16" t="n">
        <v>0</v>
      </c>
      <c r="T3" s="13" t="n">
        <f aca="false">IF(ISNUMBER(S3),IF(S3&gt;=1,1,0),"")</f>
        <v>0</v>
      </c>
      <c r="U3" s="13" t="n">
        <f aca="false">IF(ISNUMBER(S3),IF(S3&gt;=2,1,0),"")</f>
        <v>0</v>
      </c>
      <c r="V3" s="13" t="n">
        <v>1</v>
      </c>
      <c r="W3" s="13" t="n">
        <v>0</v>
      </c>
      <c r="X3" s="13" t="s">
        <v>47</v>
      </c>
      <c r="Y3" s="13" t="s">
        <v>56</v>
      </c>
      <c r="Z3" s="13" t="s">
        <v>57</v>
      </c>
    </row>
    <row r="4" customFormat="false" ht="15" hidden="false" customHeight="false" outlineLevel="0" collapsed="false">
      <c r="A4" s="13" t="s">
        <v>58</v>
      </c>
      <c r="B4" s="13" t="s">
        <v>59</v>
      </c>
      <c r="C4" s="13" t="s">
        <v>52</v>
      </c>
      <c r="D4" s="13" t="s">
        <v>60</v>
      </c>
      <c r="E4" s="13" t="s">
        <v>44</v>
      </c>
      <c r="F4" s="13" t="s">
        <v>54</v>
      </c>
      <c r="G4" s="14" t="n">
        <v>35.25</v>
      </c>
      <c r="H4" s="14"/>
      <c r="I4" s="15" t="n">
        <v>1697.253</v>
      </c>
      <c r="J4" s="16" t="s">
        <v>55</v>
      </c>
      <c r="K4" s="17" t="n">
        <v>226.085</v>
      </c>
      <c r="L4" s="17" t="n">
        <v>163.662</v>
      </c>
      <c r="M4" s="18" t="n">
        <v>-52.642</v>
      </c>
      <c r="N4" s="19" t="n">
        <f aca="false">IF(AND(ISNUMBER(I4),ISNUMBER(K4),K4&gt;0),I4/K4,"")</f>
        <v>7.50714554260566</v>
      </c>
      <c r="O4" s="20" t="n">
        <f aca="false">IF(AND(ISNUMBER(K4),ISNUMBER(L4),L4&gt;0),K4/L4-1,"")</f>
        <v>0.381414134007894</v>
      </c>
      <c r="P4" s="20" t="n">
        <f aca="false">IF(AND(ISNUMBER(M4),ISNUMBER(K4),K4&gt;0),M4/K4,"")</f>
        <v>-0.232841630360263</v>
      </c>
      <c r="Q4" s="19" t="str">
        <f aca="false">IF(AND(ISNUMBER(I4),ISNUMBER(M4),M4&gt;0),I4/M4,"")</f>
        <v/>
      </c>
      <c r="R4" s="20" t="str">
        <f aca="false">IF(AND(ISNUMBER(G4),ISNUMBER(H4),H4&gt;0),G4/H4-1,"")</f>
        <v/>
      </c>
      <c r="S4" s="16" t="n">
        <v>1</v>
      </c>
      <c r="T4" s="13" t="n">
        <f aca="false">IF(ISNUMBER(S4),IF(S4&gt;=1,1,0),"")</f>
        <v>1</v>
      </c>
      <c r="U4" s="13" t="n">
        <f aca="false">IF(ISNUMBER(S4),IF(S4&gt;=2,1,0),"")</f>
        <v>0</v>
      </c>
      <c r="V4" s="13" t="n">
        <v>1</v>
      </c>
      <c r="W4" s="13" t="n">
        <v>0</v>
      </c>
      <c r="X4" s="13" t="s">
        <v>61</v>
      </c>
      <c r="Y4" s="13" t="s">
        <v>62</v>
      </c>
      <c r="Z4" s="13" t="s">
        <v>63</v>
      </c>
    </row>
    <row r="5" customFormat="false" ht="15" hidden="false" customHeight="false" outlineLevel="0" collapsed="false">
      <c r="A5" s="13" t="s">
        <v>64</v>
      </c>
      <c r="B5" s="13" t="s">
        <v>65</v>
      </c>
      <c r="C5" s="13" t="s">
        <v>66</v>
      </c>
      <c r="D5" s="13" t="s">
        <v>67</v>
      </c>
      <c r="E5" s="13" t="s">
        <v>68</v>
      </c>
      <c r="F5" s="13" t="s">
        <v>54</v>
      </c>
      <c r="G5" s="14" t="n">
        <v>75</v>
      </c>
      <c r="H5" s="14"/>
      <c r="I5" s="15" t="n">
        <v>2800</v>
      </c>
      <c r="J5" s="16" t="s">
        <v>69</v>
      </c>
      <c r="K5" s="17" t="n">
        <v>254.083</v>
      </c>
      <c r="L5" s="17" t="n">
        <v>178.255</v>
      </c>
      <c r="M5" s="18" t="n">
        <v>-29.422</v>
      </c>
      <c r="N5" s="19" t="n">
        <f aca="false">IF(AND(ISNUMBER(I5),ISNUMBER(K5),K5&gt;0),I5/K5,"")</f>
        <v>11.0200210167544</v>
      </c>
      <c r="O5" s="20" t="n">
        <f aca="false">IF(AND(ISNUMBER(K5),ISNUMBER(L5),L5&gt;0),K5/L5-1,"")</f>
        <v>0.425390592129253</v>
      </c>
      <c r="P5" s="20" t="n">
        <f aca="false">IF(AND(ISNUMBER(M5),ISNUMBER(K5),K5&gt;0),M5/K5,"")</f>
        <v>-0.115796806555338</v>
      </c>
      <c r="Q5" s="19" t="str">
        <f aca="false">IF(AND(ISNUMBER(I5),ISNUMBER(M5),M5&gt;0),I5/M5,"")</f>
        <v/>
      </c>
      <c r="R5" s="20" t="str">
        <f aca="false">IF(AND(ISNUMBER(G5),ISNUMBER(H5),H5&gt;0),G5/H5-1,"")</f>
        <v/>
      </c>
      <c r="S5" s="16" t="n">
        <v>0</v>
      </c>
      <c r="T5" s="13" t="n">
        <f aca="false">IF(ISNUMBER(S5),IF(S5&gt;=1,1,0),"")</f>
        <v>0</v>
      </c>
      <c r="U5" s="13" t="n">
        <f aca="false">IF(ISNUMBER(S5),IF(S5&gt;=2,1,0),"")</f>
        <v>0</v>
      </c>
      <c r="V5" s="13" t="n">
        <v>1</v>
      </c>
      <c r="W5" s="13" t="n">
        <v>0</v>
      </c>
      <c r="X5" s="13" t="s">
        <v>61</v>
      </c>
      <c r="Y5" s="13" t="s">
        <v>70</v>
      </c>
      <c r="Z5" s="13" t="s">
        <v>71</v>
      </c>
    </row>
    <row r="6" customFormat="false" ht="15" hidden="false" customHeight="false" outlineLevel="0" collapsed="false">
      <c r="A6" s="5" t="s">
        <v>72</v>
      </c>
      <c r="B6" s="5" t="s">
        <v>73</v>
      </c>
      <c r="C6" s="5" t="s">
        <v>74</v>
      </c>
      <c r="D6" s="5" t="s">
        <v>75</v>
      </c>
      <c r="E6" s="5" t="s">
        <v>44</v>
      </c>
      <c r="F6" s="5" t="s">
        <v>54</v>
      </c>
      <c r="G6" s="6" t="n">
        <v>30.5</v>
      </c>
      <c r="H6" s="6"/>
      <c r="I6" s="7"/>
      <c r="J6" s="8" t="s">
        <v>46</v>
      </c>
      <c r="K6" s="9" t="n">
        <v>630.498</v>
      </c>
      <c r="L6" s="9" t="n">
        <v>565.949</v>
      </c>
      <c r="M6" s="10" t="n">
        <v>3.829</v>
      </c>
      <c r="N6" s="11" t="str">
        <f aca="false">IF(AND(ISNUMBER(I6),ISNUMBER(K6),K6&gt;0),I6/K6,"")</f>
        <v/>
      </c>
      <c r="O6" s="12" t="n">
        <f aca="false">IF(AND(ISNUMBER(K6),ISNUMBER(L6),L6&gt;0),K6/L6-1,"")</f>
        <v>0.114054446602079</v>
      </c>
      <c r="P6" s="12" t="n">
        <f aca="false">IF(AND(ISNUMBER(M6),ISNUMBER(K6),K6&gt;0),M6/K6,"")</f>
        <v>0.0060729772338691</v>
      </c>
      <c r="Q6" s="11" t="str">
        <f aca="false">IF(AND(ISNUMBER(I6),ISNUMBER(M6),M6&gt;0),I6/M6,"")</f>
        <v/>
      </c>
      <c r="R6" s="12" t="str">
        <f aca="false">IF(AND(ISNUMBER(G6),ISNUMBER(H6),H6&gt;0),G6/H6-1,"")</f>
        <v/>
      </c>
      <c r="S6" s="8" t="n">
        <v>0</v>
      </c>
      <c r="T6" s="5" t="n">
        <f aca="false">IF(ISNUMBER(S6),IF(S6&gt;=1,1,0),"")</f>
        <v>0</v>
      </c>
      <c r="U6" s="5" t="n">
        <f aca="false">IF(ISNUMBER(S6),IF(S6&gt;=2,1,0),"")</f>
        <v>0</v>
      </c>
      <c r="V6" s="5" t="n">
        <v>0</v>
      </c>
      <c r="W6" s="5" t="n">
        <v>0</v>
      </c>
      <c r="X6" s="5" t="s">
        <v>47</v>
      </c>
      <c r="Y6" s="13" t="s">
        <v>76</v>
      </c>
      <c r="Z6" s="13" t="s">
        <v>77</v>
      </c>
    </row>
    <row r="7" customFormat="false" ht="15" hidden="false" customHeight="false" outlineLevel="0" collapsed="false">
      <c r="A7" s="13" t="s">
        <v>78</v>
      </c>
      <c r="B7" s="13" t="s">
        <v>79</v>
      </c>
      <c r="C7" s="13" t="s">
        <v>80</v>
      </c>
      <c r="D7" s="13" t="s">
        <v>81</v>
      </c>
      <c r="E7" s="13" t="s">
        <v>68</v>
      </c>
      <c r="F7" s="13" t="s">
        <v>45</v>
      </c>
      <c r="G7" s="14" t="n">
        <v>44.89</v>
      </c>
      <c r="H7" s="14" t="n">
        <v>33.03</v>
      </c>
      <c r="I7" s="15" t="n">
        <v>6500</v>
      </c>
      <c r="J7" s="16" t="s">
        <v>69</v>
      </c>
      <c r="K7" s="17" t="n">
        <v>296.456</v>
      </c>
      <c r="L7" s="17" t="n">
        <v>187.747</v>
      </c>
      <c r="M7" s="18" t="n">
        <v>-75.962</v>
      </c>
      <c r="N7" s="19" t="n">
        <f aca="false">IF(AND(ISNUMBER(I7),ISNUMBER(K7),K7&gt;0),I7/K7,"")</f>
        <v>21.9256820573711</v>
      </c>
      <c r="O7" s="20" t="n">
        <f aca="false">IF(AND(ISNUMBER(K7),ISNUMBER(L7),L7&gt;0),K7/L7-1,"")</f>
        <v>0.579018572866677</v>
      </c>
      <c r="P7" s="20" t="n">
        <f aca="false">IF(AND(ISNUMBER(M7),ISNUMBER(K7),K7&gt;0),M7/K7,"")</f>
        <v>-0.256233640068003</v>
      </c>
      <c r="Q7" s="19" t="str">
        <f aca="false">IF(AND(ISNUMBER(I7),ISNUMBER(M7),M7&gt;0),I7/M7,"")</f>
        <v/>
      </c>
      <c r="R7" s="20" t="n">
        <f aca="false">IF(AND(ISNUMBER(G7),ISNUMBER(H7),H7&gt;0),G7/H7-1,"")</f>
        <v>0.359067514380866</v>
      </c>
      <c r="S7" s="16" t="n">
        <v>0</v>
      </c>
      <c r="T7" s="13" t="n">
        <f aca="false">IF(ISNUMBER(S7),IF(S7&gt;=1,1,0),"")</f>
        <v>0</v>
      </c>
      <c r="U7" s="13" t="n">
        <f aca="false">IF(ISNUMBER(S7),IF(S7&gt;=2,1,0),"")</f>
        <v>0</v>
      </c>
      <c r="V7" s="13" t="n">
        <v>1</v>
      </c>
      <c r="W7" s="13" t="n">
        <v>1</v>
      </c>
      <c r="X7" s="13" t="s">
        <v>61</v>
      </c>
      <c r="Y7" s="13" t="s">
        <v>82</v>
      </c>
      <c r="Z7" s="13" t="s">
        <v>83</v>
      </c>
    </row>
    <row r="8" customFormat="false" ht="15" hidden="false" customHeight="false" outlineLevel="0" collapsed="false">
      <c r="A8" s="5" t="s">
        <v>84</v>
      </c>
      <c r="B8" s="5" t="s">
        <v>85</v>
      </c>
      <c r="C8" s="5" t="s">
        <v>74</v>
      </c>
      <c r="D8" s="5" t="s">
        <v>86</v>
      </c>
      <c r="E8" s="5" t="s">
        <v>44</v>
      </c>
      <c r="F8" s="5" t="s">
        <v>87</v>
      </c>
      <c r="G8" s="6" t="n">
        <v>55.75</v>
      </c>
      <c r="H8" s="6" t="n">
        <v>43.06</v>
      </c>
      <c r="I8" s="7"/>
      <c r="J8" s="8" t="s">
        <v>46</v>
      </c>
      <c r="K8" s="9" t="n">
        <v>344.017</v>
      </c>
      <c r="L8" s="9" t="n">
        <v>293.552</v>
      </c>
      <c r="M8" s="10" t="n">
        <v>-0.355</v>
      </c>
      <c r="N8" s="11" t="str">
        <f aca="false">IF(AND(ISNUMBER(I8),ISNUMBER(K8),K8&gt;0),I8/K8,"")</f>
        <v/>
      </c>
      <c r="O8" s="12" t="n">
        <f aca="false">IF(AND(ISNUMBER(K8),ISNUMBER(L8),L8&gt;0),K8/L8-1,"")</f>
        <v>0.171911620428408</v>
      </c>
      <c r="P8" s="12" t="n">
        <f aca="false">IF(AND(ISNUMBER(M8),ISNUMBER(K8),K8&gt;0),M8/K8,"")</f>
        <v>-0.00103192574785548</v>
      </c>
      <c r="Q8" s="11" t="str">
        <f aca="false">IF(AND(ISNUMBER(I8),ISNUMBER(M8),M8&gt;0),I8/M8,"")</f>
        <v/>
      </c>
      <c r="R8" s="12" t="n">
        <f aca="false">IF(AND(ISNUMBER(G8),ISNUMBER(H8),H8&gt;0),G8/H8-1,"")</f>
        <v>0.294705062703205</v>
      </c>
      <c r="S8" s="8" t="n">
        <v>0</v>
      </c>
      <c r="T8" s="5" t="n">
        <f aca="false">IF(ISNUMBER(S8),IF(S8&gt;=1,1,0),"")</f>
        <v>0</v>
      </c>
      <c r="U8" s="5" t="n">
        <f aca="false">IF(ISNUMBER(S8),IF(S8&gt;=2,1,0),"")</f>
        <v>0</v>
      </c>
      <c r="V8" s="5" t="n">
        <v>0</v>
      </c>
      <c r="W8" s="5" t="n">
        <v>1</v>
      </c>
      <c r="X8" s="5" t="s">
        <v>47</v>
      </c>
      <c r="Y8" s="13" t="s">
        <v>88</v>
      </c>
      <c r="Z8" s="13" t="s">
        <v>89</v>
      </c>
    </row>
    <row r="9" customFormat="false" ht="15" hidden="false" customHeight="false" outlineLevel="0" collapsed="false">
      <c r="A9" s="13" t="s">
        <v>90</v>
      </c>
      <c r="B9" s="13" t="s">
        <v>91</v>
      </c>
      <c r="C9" s="13" t="s">
        <v>52</v>
      </c>
      <c r="D9" s="13" t="s">
        <v>92</v>
      </c>
      <c r="E9" s="13" t="s">
        <v>44</v>
      </c>
      <c r="F9" s="13" t="s">
        <v>54</v>
      </c>
      <c r="G9" s="14" t="n">
        <v>38</v>
      </c>
      <c r="H9" s="14"/>
      <c r="I9" s="15" t="n">
        <v>1794.728</v>
      </c>
      <c r="J9" s="16" t="s">
        <v>55</v>
      </c>
      <c r="K9" s="17" t="n">
        <v>224.705</v>
      </c>
      <c r="L9" s="17" t="n">
        <v>180.472</v>
      </c>
      <c r="M9" s="18" t="n">
        <v>-14.709</v>
      </c>
      <c r="N9" s="19" t="n">
        <f aca="false">IF(AND(ISNUMBER(I9),ISNUMBER(K9),K9&gt;0),I9/K9,"")</f>
        <v>7.98704078680937</v>
      </c>
      <c r="O9" s="20" t="n">
        <f aca="false">IF(AND(ISNUMBER(K9),ISNUMBER(L9),L9&gt;0),K9/L9-1,"")</f>
        <v>0.245096192207101</v>
      </c>
      <c r="P9" s="20" t="n">
        <f aca="false">IF(AND(ISNUMBER(M9),ISNUMBER(K9),K9&gt;0),M9/K9,"")</f>
        <v>-0.065459157562137</v>
      </c>
      <c r="Q9" s="19" t="str">
        <f aca="false">IF(AND(ISNUMBER(I9),ISNUMBER(M9),M9&gt;0),I9/M9,"")</f>
        <v/>
      </c>
      <c r="R9" s="20" t="str">
        <f aca="false">IF(AND(ISNUMBER(G9),ISNUMBER(H9),H9&gt;0),G9/H9-1,"")</f>
        <v/>
      </c>
      <c r="S9" s="16" t="n">
        <v>0</v>
      </c>
      <c r="T9" s="13" t="n">
        <f aca="false">IF(ISNUMBER(S9),IF(S9&gt;=1,1,0),"")</f>
        <v>0</v>
      </c>
      <c r="U9" s="13" t="n">
        <f aca="false">IF(ISNUMBER(S9),IF(S9&gt;=2,1,0),"")</f>
        <v>0</v>
      </c>
      <c r="V9" s="13" t="n">
        <v>1</v>
      </c>
      <c r="W9" s="13" t="n">
        <v>0</v>
      </c>
      <c r="X9" s="13" t="s">
        <v>61</v>
      </c>
      <c r="Y9" s="13" t="s">
        <v>93</v>
      </c>
      <c r="Z9" s="13" t="s">
        <v>94</v>
      </c>
    </row>
    <row r="10" customFormat="false" ht="15" hidden="false" customHeight="false" outlineLevel="0" collapsed="false">
      <c r="A10" s="5" t="s">
        <v>95</v>
      </c>
      <c r="B10" s="5" t="s">
        <v>96</v>
      </c>
      <c r="C10" s="5" t="s">
        <v>97</v>
      </c>
      <c r="D10" s="5" t="s">
        <v>98</v>
      </c>
      <c r="E10" s="5" t="s">
        <v>44</v>
      </c>
      <c r="F10" s="5" t="s">
        <v>54</v>
      </c>
      <c r="G10" s="6" t="n">
        <v>331.5</v>
      </c>
      <c r="H10" s="6" t="n">
        <v>277.83</v>
      </c>
      <c r="I10" s="7"/>
      <c r="J10" s="8" t="s">
        <v>46</v>
      </c>
      <c r="K10" s="9" t="n">
        <v>1140.546</v>
      </c>
      <c r="L10" s="9" t="n">
        <v>940.729</v>
      </c>
      <c r="M10" s="10" t="n">
        <v>129.815</v>
      </c>
      <c r="N10" s="11" t="str">
        <f aca="false">IF(AND(ISNUMBER(I10),ISNUMBER(K10),K10&gt;0),I10/K10,"")</f>
        <v/>
      </c>
      <c r="O10" s="12" t="n">
        <f aca="false">IF(AND(ISNUMBER(K10),ISNUMBER(L10),L10&gt;0),K10/L10-1,"")</f>
        <v>0.212406548538421</v>
      </c>
      <c r="P10" s="12" t="n">
        <f aca="false">IF(AND(ISNUMBER(M10),ISNUMBER(K10),K10&gt;0),M10/K10,"")</f>
        <v>0.113818294045133</v>
      </c>
      <c r="Q10" s="11" t="str">
        <f aca="false">IF(AND(ISNUMBER(I10),ISNUMBER(M10),M10&gt;0),I10/M10,"")</f>
        <v/>
      </c>
      <c r="R10" s="12" t="n">
        <f aca="false">IF(AND(ISNUMBER(G10),ISNUMBER(H10),H10&gt;0),G10/H10-1,"")</f>
        <v>0.193175682971601</v>
      </c>
      <c r="S10" s="8" t="n">
        <v>0</v>
      </c>
      <c r="T10" s="5" t="n">
        <f aca="false">IF(ISNUMBER(S10),IF(S10&gt;=1,1,0),"")</f>
        <v>0</v>
      </c>
      <c r="U10" s="5" t="n">
        <f aca="false">IF(ISNUMBER(S10),IF(S10&gt;=2,1,0),"")</f>
        <v>0</v>
      </c>
      <c r="V10" s="5" t="n">
        <v>0</v>
      </c>
      <c r="W10" s="5" t="n">
        <v>1</v>
      </c>
      <c r="X10" s="5" t="s">
        <v>61</v>
      </c>
      <c r="Y10" s="13" t="s">
        <v>99</v>
      </c>
      <c r="Z10" s="13" t="s">
        <v>100</v>
      </c>
    </row>
    <row r="11" customFormat="false" ht="15" hidden="false" customHeight="false" outlineLevel="0" collapsed="false">
      <c r="A11" s="13" t="s">
        <v>101</v>
      </c>
      <c r="B11" s="13" t="s">
        <v>102</v>
      </c>
      <c r="C11" s="13" t="s">
        <v>80</v>
      </c>
      <c r="D11" s="13" t="s">
        <v>103</v>
      </c>
      <c r="E11" s="13" t="s">
        <v>68</v>
      </c>
      <c r="F11" s="13" t="s">
        <v>54</v>
      </c>
      <c r="G11" s="14" t="n">
        <v>177.88</v>
      </c>
      <c r="H11" s="14" t="n">
        <v>125.21</v>
      </c>
      <c r="I11" s="15" t="n">
        <v>15700</v>
      </c>
      <c r="J11" s="16" t="s">
        <v>69</v>
      </c>
      <c r="K11" s="17" t="n">
        <v>1191.605</v>
      </c>
      <c r="L11" s="17"/>
      <c r="M11" s="18" t="n">
        <v>-91.547</v>
      </c>
      <c r="N11" s="19" t="n">
        <f aca="false">IF(AND(ISNUMBER(I11),ISNUMBER(K11),K11&gt;0),I11/K11,"")</f>
        <v>13.1755069842775</v>
      </c>
      <c r="O11" s="20" t="str">
        <f aca="false">IF(AND(ISNUMBER(K11),ISNUMBER(L11),L11&gt;0),K11/L11-1,"")</f>
        <v/>
      </c>
      <c r="P11" s="20" t="n">
        <f aca="false">IF(AND(ISNUMBER(M11),ISNUMBER(K11),K11&gt;0),M11/K11,"")</f>
        <v>-0.0768266329866021</v>
      </c>
      <c r="Q11" s="19" t="str">
        <f aca="false">IF(AND(ISNUMBER(I11),ISNUMBER(M11),M11&gt;0),I11/M11,"")</f>
        <v/>
      </c>
      <c r="R11" s="20" t="n">
        <f aca="false">IF(AND(ISNUMBER(G11),ISNUMBER(H11),H11&gt;0),G11/H11-1,"")</f>
        <v>0.420653302451881</v>
      </c>
      <c r="S11" s="16" t="n">
        <v>1</v>
      </c>
      <c r="T11" s="13" t="n">
        <f aca="false">IF(ISNUMBER(S11),IF(S11&gt;=1,1,0),"")</f>
        <v>1</v>
      </c>
      <c r="U11" s="13" t="n">
        <f aca="false">IF(ISNUMBER(S11),IF(S11&gt;=2,1,0),"")</f>
        <v>0</v>
      </c>
      <c r="V11" s="13" t="n">
        <v>1</v>
      </c>
      <c r="W11" s="13" t="n">
        <v>1</v>
      </c>
      <c r="X11" s="13" t="s">
        <v>61</v>
      </c>
      <c r="Y11" s="13" t="s">
        <v>104</v>
      </c>
      <c r="Z11" s="13" t="s">
        <v>105</v>
      </c>
    </row>
    <row r="12" customFormat="false" ht="15" hidden="false" customHeight="false" outlineLevel="0" collapsed="false">
      <c r="A12" s="13" t="s">
        <v>106</v>
      </c>
      <c r="B12" s="13" t="s">
        <v>107</v>
      </c>
      <c r="C12" s="13" t="s">
        <v>108</v>
      </c>
      <c r="D12" s="13" t="s">
        <v>109</v>
      </c>
      <c r="E12" s="13" t="s">
        <v>68</v>
      </c>
      <c r="F12" s="13" t="s">
        <v>54</v>
      </c>
      <c r="G12" s="14" t="n">
        <v>92.25</v>
      </c>
      <c r="H12" s="14"/>
      <c r="I12" s="15" t="n">
        <v>5800</v>
      </c>
      <c r="J12" s="16" t="s">
        <v>69</v>
      </c>
      <c r="K12" s="17" t="n">
        <v>660.002</v>
      </c>
      <c r="L12" s="17" t="n">
        <v>565.759</v>
      </c>
      <c r="M12" s="18" t="n">
        <v>80.734</v>
      </c>
      <c r="N12" s="19" t="n">
        <f aca="false">IF(AND(ISNUMBER(I12),ISNUMBER(K12),K12&gt;0),I12/K12,"")</f>
        <v>8.78785215802376</v>
      </c>
      <c r="O12" s="20" t="n">
        <f aca="false">IF(AND(ISNUMBER(K12),ISNUMBER(L12),L12&gt;0),K12/L12-1,"")</f>
        <v>0.166577995224115</v>
      </c>
      <c r="P12" s="20" t="n">
        <f aca="false">IF(AND(ISNUMBER(M12),ISNUMBER(K12),K12&gt;0),M12/K12,"")</f>
        <v>0.122323871745843</v>
      </c>
      <c r="Q12" s="19" t="n">
        <f aca="false">IF(AND(ISNUMBER(I12),ISNUMBER(M12),M12&gt;0),I12/M12,"")</f>
        <v>71.8408601085045</v>
      </c>
      <c r="R12" s="20" t="str">
        <f aca="false">IF(AND(ISNUMBER(G12),ISNUMBER(H12),H12&gt;0),G12/H12-1,"")</f>
        <v/>
      </c>
      <c r="S12" s="16" t="n">
        <v>1</v>
      </c>
      <c r="T12" s="13" t="n">
        <f aca="false">IF(ISNUMBER(S12),IF(S12&gt;=1,1,0),"")</f>
        <v>1</v>
      </c>
      <c r="U12" s="13" t="n">
        <f aca="false">IF(ISNUMBER(S12),IF(S12&gt;=2,1,0),"")</f>
        <v>0</v>
      </c>
      <c r="V12" s="13" t="n">
        <v>1</v>
      </c>
      <c r="W12" s="13" t="n">
        <v>0</v>
      </c>
      <c r="X12" s="13" t="s">
        <v>61</v>
      </c>
      <c r="Y12" s="13" t="s">
        <v>110</v>
      </c>
      <c r="Z12" s="13" t="s">
        <v>111</v>
      </c>
    </row>
    <row r="13" customFormat="false" ht="15" hidden="false" customHeight="false" outlineLevel="0" collapsed="false">
      <c r="A13" s="13" t="s">
        <v>112</v>
      </c>
      <c r="B13" s="13" t="s">
        <v>113</v>
      </c>
      <c r="C13" s="13" t="s">
        <v>114</v>
      </c>
      <c r="D13" s="13" t="s">
        <v>115</v>
      </c>
      <c r="E13" s="13" t="s">
        <v>68</v>
      </c>
      <c r="F13" s="13" t="s">
        <v>45</v>
      </c>
      <c r="G13" s="14" t="n">
        <v>23</v>
      </c>
      <c r="H13" s="14" t="n">
        <v>12.93</v>
      </c>
      <c r="I13" s="15" t="n">
        <v>1420</v>
      </c>
      <c r="J13" s="16" t="s">
        <v>69</v>
      </c>
      <c r="K13" s="17" t="n">
        <v>405.287</v>
      </c>
      <c r="L13" s="17" t="n">
        <v>281.134</v>
      </c>
      <c r="M13" s="18" t="n">
        <v>58.256</v>
      </c>
      <c r="N13" s="19" t="n">
        <f aca="false">IF(AND(ISNUMBER(I13),ISNUMBER(K13),K13&gt;0),I13/K13,"")</f>
        <v>3.50368997771949</v>
      </c>
      <c r="O13" s="20" t="n">
        <f aca="false">IF(AND(ISNUMBER(K13),ISNUMBER(L13),L13&gt;0),K13/L13-1,"")</f>
        <v>0.441615030554824</v>
      </c>
      <c r="P13" s="20" t="n">
        <f aca="false">IF(AND(ISNUMBER(M13),ISNUMBER(K13),K13&gt;0),M13/K13,"")</f>
        <v>0.143740115029596</v>
      </c>
      <c r="Q13" s="19" t="n">
        <f aca="false">IF(AND(ISNUMBER(I13),ISNUMBER(M13),M13&gt;0),I13/M13,"")</f>
        <v>24.3751716561384</v>
      </c>
      <c r="R13" s="20" t="n">
        <f aca="false">IF(AND(ISNUMBER(G13),ISNUMBER(H13),H13&gt;0),G13/H13-1,"")</f>
        <v>0.778808971384378</v>
      </c>
      <c r="S13" s="16" t="n">
        <v>0</v>
      </c>
      <c r="T13" s="13" t="n">
        <f aca="false">IF(ISNUMBER(S13),IF(S13&gt;=1,1,0),"")</f>
        <v>0</v>
      </c>
      <c r="U13" s="13" t="n">
        <f aca="false">IF(ISNUMBER(S13),IF(S13&gt;=2,1,0),"")</f>
        <v>0</v>
      </c>
      <c r="V13" s="13" t="n">
        <v>1</v>
      </c>
      <c r="W13" s="13" t="n">
        <v>1</v>
      </c>
      <c r="X13" s="13" t="s">
        <v>61</v>
      </c>
      <c r="Y13" s="13" t="s">
        <v>116</v>
      </c>
      <c r="Z13" s="13" t="s">
        <v>117</v>
      </c>
    </row>
    <row r="14" customFormat="false" ht="15" hidden="false" customHeight="false" outlineLevel="0" collapsed="false">
      <c r="A14" s="13" t="s">
        <v>118</v>
      </c>
      <c r="B14" s="13" t="s">
        <v>119</v>
      </c>
      <c r="C14" s="13" t="s">
        <v>74</v>
      </c>
      <c r="D14" s="13" t="s">
        <v>120</v>
      </c>
      <c r="E14" s="13" t="s">
        <v>44</v>
      </c>
      <c r="F14" s="13" t="s">
        <v>54</v>
      </c>
      <c r="G14" s="14" t="n">
        <v>47.6</v>
      </c>
      <c r="H14" s="14"/>
      <c r="I14" s="15" t="n">
        <v>1872.795</v>
      </c>
      <c r="J14" s="16" t="s">
        <v>55</v>
      </c>
      <c r="K14" s="17" t="n">
        <v>245.529</v>
      </c>
      <c r="L14" s="17" t="n">
        <v>198.048</v>
      </c>
      <c r="M14" s="18" t="n">
        <v>-53.386</v>
      </c>
      <c r="N14" s="19" t="n">
        <f aca="false">IF(AND(ISNUMBER(I14),ISNUMBER(K14),K14&gt;0),I14/K14,"")</f>
        <v>7.62759185269357</v>
      </c>
      <c r="O14" s="20" t="n">
        <f aca="false">IF(AND(ISNUMBER(K14),ISNUMBER(L14),L14&gt;0),K14/L14-1,"")</f>
        <v>0.23974491032477</v>
      </c>
      <c r="P14" s="20" t="n">
        <f aca="false">IF(AND(ISNUMBER(M14),ISNUMBER(K14),K14&gt;0),M14/K14,"")</f>
        <v>-0.217432563974113</v>
      </c>
      <c r="Q14" s="19" t="str">
        <f aca="false">IF(AND(ISNUMBER(I14),ISNUMBER(M14),M14&gt;0),I14/M14,"")</f>
        <v/>
      </c>
      <c r="R14" s="20" t="str">
        <f aca="false">IF(AND(ISNUMBER(G14),ISNUMBER(H14),H14&gt;0),G14/H14-1,"")</f>
        <v/>
      </c>
      <c r="S14" s="16" t="n">
        <v>0</v>
      </c>
      <c r="T14" s="13" t="n">
        <f aca="false">IF(ISNUMBER(S14),IF(S14&gt;=1,1,0),"")</f>
        <v>0</v>
      </c>
      <c r="U14" s="13" t="n">
        <f aca="false">IF(ISNUMBER(S14),IF(S14&gt;=2,1,0),"")</f>
        <v>0</v>
      </c>
      <c r="V14" s="13" t="n">
        <v>1</v>
      </c>
      <c r="W14" s="13" t="n">
        <v>0</v>
      </c>
      <c r="X14" s="13" t="s">
        <v>47</v>
      </c>
      <c r="Y14" s="13" t="s">
        <v>121</v>
      </c>
      <c r="Z14" s="13" t="s">
        <v>122</v>
      </c>
    </row>
    <row r="15" customFormat="false" ht="15" hidden="false" customHeight="false" outlineLevel="0" collapsed="false">
      <c r="A15" s="13" t="s">
        <v>123</v>
      </c>
      <c r="B15" s="13" t="s">
        <v>124</v>
      </c>
      <c r="C15" s="13" t="s">
        <v>125</v>
      </c>
      <c r="D15" s="13" t="s">
        <v>126</v>
      </c>
      <c r="E15" s="13" t="s">
        <v>68</v>
      </c>
      <c r="F15" s="13" t="s">
        <v>54</v>
      </c>
      <c r="G15" s="14" t="n">
        <v>47.03</v>
      </c>
      <c r="H15" s="14"/>
      <c r="I15" s="15" t="n">
        <v>27700</v>
      </c>
      <c r="J15" s="16" t="s">
        <v>69</v>
      </c>
      <c r="K15" s="17" t="n">
        <v>768.142</v>
      </c>
      <c r="L15" s="17" t="n">
        <v>507.409</v>
      </c>
      <c r="M15" s="18" t="n">
        <v>-302.864</v>
      </c>
      <c r="N15" s="19" t="n">
        <f aca="false">IF(AND(ISNUMBER(I15),ISNUMBER(K15),K15&gt;0),I15/K15,"")</f>
        <v>36.0610407971443</v>
      </c>
      <c r="O15" s="20" t="n">
        <f aca="false">IF(AND(ISNUMBER(K15),ISNUMBER(L15),L15&gt;0),K15/L15-1,"")</f>
        <v>0.513851744844889</v>
      </c>
      <c r="P15" s="20" t="n">
        <f aca="false">IF(AND(ISNUMBER(M15),ISNUMBER(K15),K15&gt;0),M15/K15,"")</f>
        <v>-0.394281265703477</v>
      </c>
      <c r="Q15" s="19" t="str">
        <f aca="false">IF(AND(ISNUMBER(I15),ISNUMBER(M15),M15&gt;0),I15/M15,"")</f>
        <v/>
      </c>
      <c r="R15" s="20" t="str">
        <f aca="false">IF(AND(ISNUMBER(G15),ISNUMBER(H15),H15&gt;0),G15/H15-1,"")</f>
        <v/>
      </c>
      <c r="S15" s="16" t="n">
        <v>0</v>
      </c>
      <c r="T15" s="13" t="n">
        <f aca="false">IF(ISNUMBER(S15),IF(S15&gt;=1,1,0),"")</f>
        <v>0</v>
      </c>
      <c r="U15" s="13" t="n">
        <f aca="false">IF(ISNUMBER(S15),IF(S15&gt;=2,1,0),"")</f>
        <v>0</v>
      </c>
      <c r="V15" s="13" t="n">
        <v>1</v>
      </c>
      <c r="W15" s="13" t="n">
        <v>0</v>
      </c>
      <c r="X15" s="13" t="s">
        <v>61</v>
      </c>
      <c r="Y15" s="13" t="s">
        <v>127</v>
      </c>
      <c r="Z15" s="13" t="s">
        <v>128</v>
      </c>
    </row>
    <row r="16" customFormat="false" ht="15" hidden="false" customHeight="false" outlineLevel="0" collapsed="false">
      <c r="A16" s="13" t="s">
        <v>129</v>
      </c>
      <c r="B16" s="13" t="s">
        <v>130</v>
      </c>
      <c r="C16" s="13" t="s">
        <v>74</v>
      </c>
      <c r="D16" s="13" t="s">
        <v>131</v>
      </c>
      <c r="E16" s="13" t="s">
        <v>44</v>
      </c>
      <c r="F16" s="13" t="s">
        <v>54</v>
      </c>
      <c r="G16" s="14" t="n">
        <v>88.75</v>
      </c>
      <c r="H16" s="14" t="n">
        <v>67.83</v>
      </c>
      <c r="I16" s="15" t="n">
        <v>10200</v>
      </c>
      <c r="J16" s="16" t="s">
        <v>69</v>
      </c>
      <c r="K16" s="17" t="n">
        <v>1115.196</v>
      </c>
      <c r="L16" s="17" t="n">
        <v>960.343</v>
      </c>
      <c r="M16" s="18" t="n">
        <v>230.382</v>
      </c>
      <c r="N16" s="19" t="n">
        <f aca="false">IF(AND(ISNUMBER(I16),ISNUMBER(K16),K16&gt;0),I16/K16,"")</f>
        <v>9.14637426963511</v>
      </c>
      <c r="O16" s="20" t="n">
        <f aca="false">IF(AND(ISNUMBER(K16),ISNUMBER(L16),L16&gt;0),K16/L16-1,"")</f>
        <v>0.161247595911044</v>
      </c>
      <c r="P16" s="20" t="n">
        <f aca="false">IF(AND(ISNUMBER(M16),ISNUMBER(K16),K16&gt;0),M16/K16,"")</f>
        <v>0.206584313430106</v>
      </c>
      <c r="Q16" s="19" t="n">
        <f aca="false">IF(AND(ISNUMBER(I16),ISNUMBER(M16),M16&gt;0),I16/M16,"")</f>
        <v>44.2742922624163</v>
      </c>
      <c r="R16" s="20" t="n">
        <f aca="false">IF(AND(ISNUMBER(G16),ISNUMBER(H16),H16&gt;0),G16/H16-1,"")</f>
        <v>0.308418104083739</v>
      </c>
      <c r="S16" s="16" t="n">
        <v>0</v>
      </c>
      <c r="T16" s="13" t="n">
        <f aca="false">IF(ISNUMBER(S16),IF(S16&gt;=1,1,0),"")</f>
        <v>0</v>
      </c>
      <c r="U16" s="13" t="n">
        <f aca="false">IF(ISNUMBER(S16),IF(S16&gt;=2,1,0),"")</f>
        <v>0</v>
      </c>
      <c r="V16" s="13" t="n">
        <v>1</v>
      </c>
      <c r="W16" s="13" t="n">
        <v>1</v>
      </c>
      <c r="X16" s="13" t="s">
        <v>61</v>
      </c>
      <c r="Y16" s="13" t="s">
        <v>132</v>
      </c>
      <c r="Z16" s="13" t="s">
        <v>133</v>
      </c>
    </row>
    <row r="17" customFormat="false" ht="15" hidden="false" customHeight="false" outlineLevel="0" collapsed="false">
      <c r="A17" s="13" t="s">
        <v>134</v>
      </c>
      <c r="B17" s="13" t="s">
        <v>135</v>
      </c>
      <c r="C17" s="13" t="s">
        <v>74</v>
      </c>
      <c r="D17" s="13" t="s">
        <v>136</v>
      </c>
      <c r="E17" s="13" t="s">
        <v>44</v>
      </c>
      <c r="F17" s="13" t="s">
        <v>45</v>
      </c>
      <c r="G17" s="14" t="n">
        <v>66</v>
      </c>
      <c r="H17" s="14" t="n">
        <v>51.3</v>
      </c>
      <c r="I17" s="15" t="n">
        <v>2400</v>
      </c>
      <c r="J17" s="16" t="s">
        <v>69</v>
      </c>
      <c r="K17" s="17" t="n">
        <v>287.471</v>
      </c>
      <c r="L17" s="17" t="n">
        <v>247.861</v>
      </c>
      <c r="M17" s="18" t="n">
        <v>-62.371</v>
      </c>
      <c r="N17" s="19" t="n">
        <f aca="false">IF(AND(ISNUMBER(I17),ISNUMBER(K17),K17&gt;0),I17/K17,"")</f>
        <v>8.34866821348936</v>
      </c>
      <c r="O17" s="20" t="n">
        <f aca="false">IF(AND(ISNUMBER(K17),ISNUMBER(L17),L17&gt;0),K17/L17-1,"")</f>
        <v>0.159807311355962</v>
      </c>
      <c r="P17" s="20" t="n">
        <f aca="false">IF(AND(ISNUMBER(M17),ISNUMBER(K17),K17&gt;0),M17/K17,"")</f>
        <v>-0.21696449380981</v>
      </c>
      <c r="Q17" s="19" t="str">
        <f aca="false">IF(AND(ISNUMBER(I17),ISNUMBER(M17),M17&gt;0),I17/M17,"")</f>
        <v/>
      </c>
      <c r="R17" s="20" t="n">
        <f aca="false">IF(AND(ISNUMBER(G17),ISNUMBER(H17),H17&gt;0),G17/H17-1,"")</f>
        <v>0.286549707602339</v>
      </c>
      <c r="S17" s="16" t="n">
        <v>1</v>
      </c>
      <c r="T17" s="13" t="n">
        <f aca="false">IF(ISNUMBER(S17),IF(S17&gt;=1,1,0),"")</f>
        <v>1</v>
      </c>
      <c r="U17" s="13" t="n">
        <f aca="false">IF(ISNUMBER(S17),IF(S17&gt;=2,1,0),"")</f>
        <v>0</v>
      </c>
      <c r="V17" s="13" t="n">
        <v>1</v>
      </c>
      <c r="W17" s="13" t="n">
        <v>1</v>
      </c>
      <c r="X17" s="13" t="s">
        <v>61</v>
      </c>
      <c r="Y17" s="13" t="s">
        <v>137</v>
      </c>
      <c r="Z17" s="13" t="s">
        <v>138</v>
      </c>
    </row>
    <row r="18" customFormat="false" ht="15" hidden="false" customHeight="false" outlineLevel="0" collapsed="false">
      <c r="A18" s="13" t="s">
        <v>139</v>
      </c>
      <c r="B18" s="13" t="s">
        <v>140</v>
      </c>
      <c r="C18" s="13" t="s">
        <v>141</v>
      </c>
      <c r="D18" s="13" t="s">
        <v>142</v>
      </c>
      <c r="E18" s="13" t="s">
        <v>68</v>
      </c>
      <c r="F18" s="13" t="s">
        <v>54</v>
      </c>
      <c r="G18" s="14" t="n">
        <v>56</v>
      </c>
      <c r="H18" s="14" t="n">
        <v>45.58</v>
      </c>
      <c r="I18" s="15" t="n">
        <v>19700</v>
      </c>
      <c r="J18" s="16" t="s">
        <v>69</v>
      </c>
      <c r="K18" s="17" t="n">
        <v>1463.1</v>
      </c>
      <c r="L18" s="17" t="n">
        <v>1519.829</v>
      </c>
      <c r="M18" s="18" t="n">
        <v>223.852</v>
      </c>
      <c r="N18" s="19" t="n">
        <f aca="false">IF(AND(ISNUMBER(I18),ISNUMBER(K18),K18&gt;0),I18/K18,"")</f>
        <v>13.4645615473994</v>
      </c>
      <c r="O18" s="20" t="n">
        <f aca="false">IF(AND(ISNUMBER(K18),ISNUMBER(L18),L18&gt;0),K18/L18-1,"")</f>
        <v>-0.0373259096911561</v>
      </c>
      <c r="P18" s="20" t="n">
        <f aca="false">IF(AND(ISNUMBER(M18),ISNUMBER(K18),K18&gt;0),M18/K18,"")</f>
        <v>0.152998427995352</v>
      </c>
      <c r="Q18" s="19" t="n">
        <f aca="false">IF(AND(ISNUMBER(I18),ISNUMBER(M18),M18&gt;0),I18/M18,"")</f>
        <v>88.0045744509765</v>
      </c>
      <c r="R18" s="20" t="n">
        <f aca="false">IF(AND(ISNUMBER(G18),ISNUMBER(H18),H18&gt;0),G18/H18-1,"")</f>
        <v>0.228609039052216</v>
      </c>
      <c r="S18" s="16" t="n">
        <v>2</v>
      </c>
      <c r="T18" s="13" t="n">
        <f aca="false">IF(ISNUMBER(S18),IF(S18&gt;=1,1,0),"")</f>
        <v>1</v>
      </c>
      <c r="U18" s="13" t="n">
        <f aca="false">IF(ISNUMBER(S18),IF(S18&gt;=2,1,0),"")</f>
        <v>1</v>
      </c>
      <c r="V18" s="13" t="n">
        <v>1</v>
      </c>
      <c r="W18" s="13" t="n">
        <v>1</v>
      </c>
      <c r="X18" s="13" t="s">
        <v>61</v>
      </c>
      <c r="Y18" s="13" t="s">
        <v>143</v>
      </c>
      <c r="Z18" s="13" t="s">
        <v>144</v>
      </c>
    </row>
    <row r="19" customFormat="false" ht="15" hidden="false" customHeight="false" outlineLevel="0" collapsed="false">
      <c r="A19" s="5" t="s">
        <v>145</v>
      </c>
      <c r="B19" s="5" t="s">
        <v>146</v>
      </c>
      <c r="C19" s="5" t="s">
        <v>74</v>
      </c>
      <c r="D19" s="5" t="s">
        <v>147</v>
      </c>
      <c r="E19" s="5" t="s">
        <v>44</v>
      </c>
      <c r="F19" s="5" t="s">
        <v>87</v>
      </c>
      <c r="G19" s="6" t="n">
        <v>176</v>
      </c>
      <c r="H19" s="6"/>
      <c r="I19" s="7"/>
      <c r="J19" s="8" t="s">
        <v>46</v>
      </c>
      <c r="K19" s="9" t="n">
        <v>1050.01</v>
      </c>
      <c r="L19" s="9" t="n">
        <v>888.19</v>
      </c>
      <c r="M19" s="10" t="n">
        <v>0.769</v>
      </c>
      <c r="N19" s="11" t="str">
        <f aca="false">IF(AND(ISNUMBER(I19),ISNUMBER(K19),K19&gt;0),I19/K19,"")</f>
        <v/>
      </c>
      <c r="O19" s="12" t="n">
        <f aca="false">IF(AND(ISNUMBER(K19),ISNUMBER(L19),L19&gt;0),K19/L19-1,"")</f>
        <v>0.182190747475202</v>
      </c>
      <c r="P19" s="12" t="n">
        <f aca="false">IF(AND(ISNUMBER(M19),ISNUMBER(K19),K19&gt;0),M19/K19,"")</f>
        <v>0.000732373977390692</v>
      </c>
      <c r="Q19" s="11" t="str">
        <f aca="false">IF(AND(ISNUMBER(I19),ISNUMBER(M19),M19&gt;0),I19/M19,"")</f>
        <v/>
      </c>
      <c r="R19" s="12" t="str">
        <f aca="false">IF(AND(ISNUMBER(G19),ISNUMBER(H19),H19&gt;0),G19/H19-1,"")</f>
        <v/>
      </c>
      <c r="S19" s="8" t="n">
        <v>1</v>
      </c>
      <c r="T19" s="5" t="n">
        <f aca="false">IF(ISNUMBER(S19),IF(S19&gt;=1,1,0),"")</f>
        <v>1</v>
      </c>
      <c r="U19" s="5" t="n">
        <f aca="false">IF(ISNUMBER(S19),IF(S19&gt;=2,1,0),"")</f>
        <v>0</v>
      </c>
      <c r="V19" s="5" t="n">
        <v>0</v>
      </c>
      <c r="W19" s="5" t="n">
        <v>0</v>
      </c>
      <c r="X19" s="5" t="s">
        <v>47</v>
      </c>
      <c r="Y19" s="13" t="s">
        <v>148</v>
      </c>
      <c r="Z19" s="13" t="s">
        <v>149</v>
      </c>
    </row>
    <row r="20" customFormat="false" ht="15" hidden="false" customHeight="false" outlineLevel="0" collapsed="false">
      <c r="A20" s="5" t="s">
        <v>150</v>
      </c>
      <c r="B20" s="5" t="s">
        <v>151</v>
      </c>
      <c r="C20" s="5" t="s">
        <v>152</v>
      </c>
      <c r="D20" s="5" t="s">
        <v>153</v>
      </c>
      <c r="E20" s="5" t="s">
        <v>44</v>
      </c>
      <c r="F20" s="5" t="s">
        <v>45</v>
      </c>
      <c r="G20" s="6" t="n">
        <v>16</v>
      </c>
      <c r="H20" s="6"/>
      <c r="I20" s="7"/>
      <c r="J20" s="8" t="s">
        <v>46</v>
      </c>
      <c r="K20" s="9" t="n">
        <v>883.081</v>
      </c>
      <c r="L20" s="9" t="n">
        <v>817.183</v>
      </c>
      <c r="M20" s="10" t="n">
        <v>-47.762</v>
      </c>
      <c r="N20" s="11" t="str">
        <f aca="false">IF(AND(ISNUMBER(I20),ISNUMBER(K20),K20&gt;0),I20/K20,"")</f>
        <v/>
      </c>
      <c r="O20" s="12" t="n">
        <f aca="false">IF(AND(ISNUMBER(K20),ISNUMBER(L20),L20&gt;0),K20/L20-1,"")</f>
        <v>0.0806404440621011</v>
      </c>
      <c r="P20" s="12" t="n">
        <f aca="false">IF(AND(ISNUMBER(M20),ISNUMBER(K20),K20&gt;0),M20/K20,"")</f>
        <v>-0.0540856388032355</v>
      </c>
      <c r="Q20" s="11" t="str">
        <f aca="false">IF(AND(ISNUMBER(I20),ISNUMBER(M20),M20&gt;0),I20/M20,"")</f>
        <v/>
      </c>
      <c r="R20" s="12" t="str">
        <f aca="false">IF(AND(ISNUMBER(G20),ISNUMBER(H20),H20&gt;0),G20/H20-1,"")</f>
        <v/>
      </c>
      <c r="S20" s="8" t="n">
        <v>0</v>
      </c>
      <c r="T20" s="5" t="n">
        <f aca="false">IF(ISNUMBER(S20),IF(S20&gt;=1,1,0),"")</f>
        <v>0</v>
      </c>
      <c r="U20" s="5" t="n">
        <f aca="false">IF(ISNUMBER(S20),IF(S20&gt;=2,1,0),"")</f>
        <v>0</v>
      </c>
      <c r="V20" s="5" t="n">
        <v>0</v>
      </c>
      <c r="W20" s="5" t="n">
        <v>0</v>
      </c>
      <c r="X20" s="5" t="s">
        <v>61</v>
      </c>
      <c r="Y20" s="13" t="s">
        <v>154</v>
      </c>
      <c r="Z20" s="13" t="s">
        <v>155</v>
      </c>
    </row>
    <row r="21" customFormat="false" ht="15" hidden="false" customHeight="false" outlineLevel="0" collapsed="false">
      <c r="A21" s="13" t="s">
        <v>156</v>
      </c>
      <c r="B21" s="13" t="s">
        <v>157</v>
      </c>
      <c r="C21" s="13" t="s">
        <v>158</v>
      </c>
      <c r="D21" s="13" t="s">
        <v>159</v>
      </c>
      <c r="E21" s="13" t="s">
        <v>44</v>
      </c>
      <c r="F21" s="13" t="s">
        <v>54</v>
      </c>
      <c r="G21" s="14" t="n">
        <v>57.5</v>
      </c>
      <c r="H21" s="14"/>
      <c r="I21" s="15" t="n">
        <v>5200</v>
      </c>
      <c r="J21" s="16" t="s">
        <v>69</v>
      </c>
      <c r="K21" s="17" t="n">
        <v>800.053</v>
      </c>
      <c r="L21" s="17"/>
      <c r="M21" s="18" t="n">
        <v>122.061</v>
      </c>
      <c r="N21" s="19" t="n">
        <f aca="false">IF(AND(ISNUMBER(I21),ISNUMBER(K21),K21&gt;0),I21/K21,"")</f>
        <v>6.49956940352702</v>
      </c>
      <c r="O21" s="20" t="str">
        <f aca="false">IF(AND(ISNUMBER(K21),ISNUMBER(L21),L21&gt;0),K21/L21-1,"")</f>
        <v/>
      </c>
      <c r="P21" s="20" t="n">
        <f aca="false">IF(AND(ISNUMBER(M21),ISNUMBER(K21),K21&gt;0),M21/K21,"")</f>
        <v>0.15256614249306</v>
      </c>
      <c r="Q21" s="19" t="n">
        <f aca="false">IF(AND(ISNUMBER(I21),ISNUMBER(M21),M21&gt;0),I21/M21,"")</f>
        <v>42.6016499946748</v>
      </c>
      <c r="R21" s="20" t="str">
        <f aca="false">IF(AND(ISNUMBER(G21),ISNUMBER(H21),H21&gt;0),G21/H21-1,"")</f>
        <v/>
      </c>
      <c r="S21" s="16" t="n">
        <v>0</v>
      </c>
      <c r="T21" s="13" t="n">
        <f aca="false">IF(ISNUMBER(S21),IF(S21&gt;=1,1,0),"")</f>
        <v>0</v>
      </c>
      <c r="U21" s="13" t="n">
        <f aca="false">IF(ISNUMBER(S21),IF(S21&gt;=2,1,0),"")</f>
        <v>0</v>
      </c>
      <c r="V21" s="13" t="n">
        <v>1</v>
      </c>
      <c r="W21" s="13" t="n">
        <v>0</v>
      </c>
      <c r="X21" s="13" t="s">
        <v>61</v>
      </c>
      <c r="Y21" s="13" t="s">
        <v>160</v>
      </c>
      <c r="Z21" s="13" t="s">
        <v>161</v>
      </c>
    </row>
    <row r="22" customFormat="false" ht="15" hidden="false" customHeight="false" outlineLevel="0" collapsed="false">
      <c r="A22" s="13" t="s">
        <v>162</v>
      </c>
      <c r="B22" s="13" t="s">
        <v>163</v>
      </c>
      <c r="C22" s="13" t="s">
        <v>164</v>
      </c>
      <c r="D22" s="13" t="s">
        <v>165</v>
      </c>
      <c r="E22" s="13" t="s">
        <v>44</v>
      </c>
      <c r="F22" s="13" t="s">
        <v>45</v>
      </c>
      <c r="G22" s="14" t="n">
        <v>104</v>
      </c>
      <c r="H22" s="14"/>
      <c r="I22" s="15" t="n">
        <v>16500</v>
      </c>
      <c r="J22" s="16" t="s">
        <v>69</v>
      </c>
      <c r="K22" s="17" t="n">
        <v>3175.978</v>
      </c>
      <c r="L22" s="17" t="n">
        <v>3236.867</v>
      </c>
      <c r="M22" s="18"/>
      <c r="N22" s="19" t="n">
        <f aca="false">IF(AND(ISNUMBER(I22),ISNUMBER(K22),K22&gt;0),I22/K22,"")</f>
        <v>5.19525009304221</v>
      </c>
      <c r="O22" s="20" t="n">
        <f aca="false">IF(AND(ISNUMBER(K22),ISNUMBER(L22),L22&gt;0),K22/L22-1,"")</f>
        <v>-0.0188110910951856</v>
      </c>
      <c r="P22" s="20" t="str">
        <f aca="false">IF(AND(ISNUMBER(M22),ISNUMBER(K22),K22&gt;0),M22/K22,"")</f>
        <v/>
      </c>
      <c r="Q22" s="19" t="str">
        <f aca="false">IF(AND(ISNUMBER(I22),ISNUMBER(M22),M22&gt;0),I22/M22,"")</f>
        <v/>
      </c>
      <c r="R22" s="20" t="str">
        <f aca="false">IF(AND(ISNUMBER(G22),ISNUMBER(H22),H22&gt;0),G22/H22-1,"")</f>
        <v/>
      </c>
      <c r="S22" s="16" t="n">
        <v>0</v>
      </c>
      <c r="T22" s="13" t="n">
        <f aca="false">IF(ISNUMBER(S22),IF(S22&gt;=1,1,0),"")</f>
        <v>0</v>
      </c>
      <c r="U22" s="13" t="n">
        <f aca="false">IF(ISNUMBER(S22),IF(S22&gt;=2,1,0),"")</f>
        <v>0</v>
      </c>
      <c r="V22" s="13" t="n">
        <v>1</v>
      </c>
      <c r="W22" s="13" t="n">
        <v>0</v>
      </c>
      <c r="X22" s="13" t="s">
        <v>61</v>
      </c>
      <c r="Y22" s="13" t="s">
        <v>166</v>
      </c>
      <c r="Z22" s="13" t="s">
        <v>167</v>
      </c>
    </row>
    <row r="23" customFormat="false" ht="15" hidden="false" customHeight="false" outlineLevel="0" collapsed="false">
      <c r="A23" s="5" t="s">
        <v>168</v>
      </c>
      <c r="B23" s="5" t="s">
        <v>169</v>
      </c>
      <c r="C23" s="5" t="s">
        <v>170</v>
      </c>
      <c r="D23" s="5" t="s">
        <v>171</v>
      </c>
      <c r="E23" s="5" t="s">
        <v>68</v>
      </c>
      <c r="F23" s="5" t="s">
        <v>87</v>
      </c>
      <c r="G23" s="6" t="n">
        <v>23</v>
      </c>
      <c r="H23" s="6"/>
      <c r="I23" s="7"/>
      <c r="J23" s="8" t="s">
        <v>46</v>
      </c>
      <c r="K23" s="9" t="n">
        <v>483.455</v>
      </c>
      <c r="L23" s="9" t="n">
        <v>399.709</v>
      </c>
      <c r="M23" s="10" t="n">
        <v>-264.748</v>
      </c>
      <c r="N23" s="11" t="str">
        <f aca="false">IF(AND(ISNUMBER(I23),ISNUMBER(K23),K23&gt;0),I23/K23,"")</f>
        <v/>
      </c>
      <c r="O23" s="12" t="n">
        <f aca="false">IF(AND(ISNUMBER(K23),ISNUMBER(L23),L23&gt;0),K23/L23-1,"")</f>
        <v>0.209517423925906</v>
      </c>
      <c r="P23" s="12" t="n">
        <f aca="false">IF(AND(ISNUMBER(M23),ISNUMBER(K23),K23&gt;0),M23/K23,"")</f>
        <v>-0.547616634433401</v>
      </c>
      <c r="Q23" s="11" t="str">
        <f aca="false">IF(AND(ISNUMBER(I23),ISNUMBER(M23),M23&gt;0),I23/M23,"")</f>
        <v/>
      </c>
      <c r="R23" s="12" t="str">
        <f aca="false">IF(AND(ISNUMBER(G23),ISNUMBER(H23),H23&gt;0),G23/H23-1,"")</f>
        <v/>
      </c>
      <c r="S23" s="8" t="n">
        <v>0</v>
      </c>
      <c r="T23" s="5" t="n">
        <f aca="false">IF(ISNUMBER(S23),IF(S23&gt;=1,1,0),"")</f>
        <v>0</v>
      </c>
      <c r="U23" s="5" t="n">
        <f aca="false">IF(ISNUMBER(S23),IF(S23&gt;=2,1,0),"")</f>
        <v>0</v>
      </c>
      <c r="V23" s="5" t="n">
        <v>0</v>
      </c>
      <c r="W23" s="5" t="n">
        <v>0</v>
      </c>
      <c r="X23" s="5" t="s">
        <v>172</v>
      </c>
      <c r="Y23" s="13" t="s">
        <v>173</v>
      </c>
      <c r="Z23" s="13" t="s">
        <v>174</v>
      </c>
    </row>
    <row r="24" customFormat="false" ht="15" hidden="false" customHeight="false" outlineLevel="0" collapsed="false">
      <c r="A24" s="13" t="s">
        <v>175</v>
      </c>
      <c r="B24" s="13" t="s">
        <v>176</v>
      </c>
      <c r="C24" s="13" t="s">
        <v>74</v>
      </c>
      <c r="D24" s="13" t="s">
        <v>177</v>
      </c>
      <c r="E24" s="13" t="s">
        <v>44</v>
      </c>
      <c r="F24" s="13" t="s">
        <v>54</v>
      </c>
      <c r="G24" s="14" t="n">
        <v>63.75</v>
      </c>
      <c r="H24" s="14" t="n">
        <v>50.59</v>
      </c>
      <c r="I24" s="15" t="n">
        <v>10100.629</v>
      </c>
      <c r="J24" s="16" t="s">
        <v>55</v>
      </c>
      <c r="K24" s="17" t="n">
        <v>592.176</v>
      </c>
      <c r="L24" s="17" t="n">
        <v>447.8</v>
      </c>
      <c r="M24" s="18" t="n">
        <v>-172.199</v>
      </c>
      <c r="N24" s="19" t="n">
        <f aca="false">IF(AND(ISNUMBER(I24),ISNUMBER(K24),K24&gt;0),I24/K24,"")</f>
        <v>17.0568023695658</v>
      </c>
      <c r="O24" s="20" t="n">
        <f aca="false">IF(AND(ISNUMBER(K24),ISNUMBER(L24),L24&gt;0),K24/L24-1,"")</f>
        <v>0.322411790978115</v>
      </c>
      <c r="P24" s="20" t="n">
        <f aca="false">IF(AND(ISNUMBER(M24),ISNUMBER(K24),K24&gt;0),M24/K24,"")</f>
        <v>-0.29079023803734</v>
      </c>
      <c r="Q24" s="19" t="str">
        <f aca="false">IF(AND(ISNUMBER(I24),ISNUMBER(M24),M24&gt;0),I24/M24,"")</f>
        <v/>
      </c>
      <c r="R24" s="20" t="n">
        <f aca="false">IF(AND(ISNUMBER(G24),ISNUMBER(H24),H24&gt;0),G24/H24-1,"")</f>
        <v>0.260130460565329</v>
      </c>
      <c r="S24" s="16" t="n">
        <v>0</v>
      </c>
      <c r="T24" s="13" t="n">
        <f aca="false">IF(ISNUMBER(S24),IF(S24&gt;=1,1,0),"")</f>
        <v>0</v>
      </c>
      <c r="U24" s="13" t="n">
        <f aca="false">IF(ISNUMBER(S24),IF(S24&gt;=2,1,0),"")</f>
        <v>0</v>
      </c>
      <c r="V24" s="13" t="n">
        <v>1</v>
      </c>
      <c r="W24" s="13" t="n">
        <v>1</v>
      </c>
      <c r="X24" s="13" t="s">
        <v>172</v>
      </c>
      <c r="Y24" s="13" t="s">
        <v>178</v>
      </c>
      <c r="Z24" s="13" t="s">
        <v>179</v>
      </c>
    </row>
    <row r="25" customFormat="false" ht="15" hidden="false" customHeight="false" outlineLevel="0" collapsed="false">
      <c r="A25" s="5" t="s">
        <v>180</v>
      </c>
      <c r="B25" s="5" t="s">
        <v>181</v>
      </c>
      <c r="C25" s="5" t="s">
        <v>74</v>
      </c>
      <c r="D25" s="5" t="s">
        <v>182</v>
      </c>
      <c r="E25" s="5" t="s">
        <v>44</v>
      </c>
      <c r="F25" s="5" t="s">
        <v>87</v>
      </c>
      <c r="G25" s="6" t="n">
        <v>65.25</v>
      </c>
      <c r="H25" s="6"/>
      <c r="I25" s="7"/>
      <c r="J25" s="8" t="s">
        <v>46</v>
      </c>
      <c r="K25" s="9" t="n">
        <v>438.954</v>
      </c>
      <c r="L25" s="9" t="n">
        <v>365.254</v>
      </c>
      <c r="M25" s="10" t="n">
        <v>-36.7</v>
      </c>
      <c r="N25" s="11" t="str">
        <f aca="false">IF(AND(ISNUMBER(I25),ISNUMBER(K25),K25&gt;0),I25/K25,"")</f>
        <v/>
      </c>
      <c r="O25" s="12" t="n">
        <f aca="false">IF(AND(ISNUMBER(K25),ISNUMBER(L25),L25&gt;0),K25/L25-1,"")</f>
        <v>0.201777393266056</v>
      </c>
      <c r="P25" s="12" t="n">
        <f aca="false">IF(AND(ISNUMBER(M25),ISNUMBER(K25),K25&gt;0),M25/K25,"")</f>
        <v>-0.0836078495696588</v>
      </c>
      <c r="Q25" s="11" t="str">
        <f aca="false">IF(AND(ISNUMBER(I25),ISNUMBER(M25),M25&gt;0),I25/M25,"")</f>
        <v/>
      </c>
      <c r="R25" s="12" t="str">
        <f aca="false">IF(AND(ISNUMBER(G25),ISNUMBER(H25),H25&gt;0),G25/H25-1,"")</f>
        <v/>
      </c>
      <c r="S25" s="8" t="n">
        <v>0</v>
      </c>
      <c r="T25" s="5" t="n">
        <f aca="false">IF(ISNUMBER(S25),IF(S25&gt;=1,1,0),"")</f>
        <v>0</v>
      </c>
      <c r="U25" s="5" t="n">
        <f aca="false">IF(ISNUMBER(S25),IF(S25&gt;=2,1,0),"")</f>
        <v>0</v>
      </c>
      <c r="V25" s="5" t="n">
        <v>0</v>
      </c>
      <c r="W25" s="5" t="n">
        <v>0</v>
      </c>
      <c r="X25" s="5" t="s">
        <v>47</v>
      </c>
      <c r="Y25" s="13" t="s">
        <v>183</v>
      </c>
      <c r="Z25" s="13" t="s">
        <v>184</v>
      </c>
    </row>
    <row r="26" customFormat="false" ht="15" hidden="false" customHeight="false" outlineLevel="0" collapsed="false">
      <c r="A26" s="5" t="s">
        <v>185</v>
      </c>
      <c r="B26" s="5" t="s">
        <v>186</v>
      </c>
      <c r="C26" s="5" t="s">
        <v>187</v>
      </c>
      <c r="D26" s="5" t="s">
        <v>188</v>
      </c>
      <c r="E26" s="5" t="s">
        <v>44</v>
      </c>
      <c r="F26" s="5" t="s">
        <v>54</v>
      </c>
      <c r="G26" s="6" t="n">
        <v>77.5</v>
      </c>
      <c r="H26" s="6"/>
      <c r="I26" s="7"/>
      <c r="J26" s="8" t="s">
        <v>46</v>
      </c>
      <c r="K26" s="9" t="n">
        <v>1428.882</v>
      </c>
      <c r="L26" s="9"/>
      <c r="M26" s="10" t="n">
        <v>-151.618</v>
      </c>
      <c r="N26" s="11" t="str">
        <f aca="false">IF(AND(ISNUMBER(I26),ISNUMBER(K26),K26&gt;0),I26/K26,"")</f>
        <v/>
      </c>
      <c r="O26" s="12" t="str">
        <f aca="false">IF(AND(ISNUMBER(K26),ISNUMBER(L26),L26&gt;0),K26/L26-1,"")</f>
        <v/>
      </c>
      <c r="P26" s="12" t="n">
        <f aca="false">IF(AND(ISNUMBER(M26),ISNUMBER(K26),K26&gt;0),M26/K26,"")</f>
        <v>-0.106109531787789</v>
      </c>
      <c r="Q26" s="11" t="str">
        <f aca="false">IF(AND(ISNUMBER(I26),ISNUMBER(M26),M26&gt;0),I26/M26,"")</f>
        <v/>
      </c>
      <c r="R26" s="12" t="str">
        <f aca="false">IF(AND(ISNUMBER(G26),ISNUMBER(H26),H26&gt;0),G26/H26-1,"")</f>
        <v/>
      </c>
      <c r="S26" s="8" t="n">
        <v>0</v>
      </c>
      <c r="T26" s="5" t="n">
        <f aca="false">IF(ISNUMBER(S26),IF(S26&gt;=1,1,0),"")</f>
        <v>0</v>
      </c>
      <c r="U26" s="5" t="n">
        <f aca="false">IF(ISNUMBER(S26),IF(S26&gt;=2,1,0),"")</f>
        <v>0</v>
      </c>
      <c r="V26" s="5" t="n">
        <v>0</v>
      </c>
      <c r="W26" s="5" t="n">
        <v>0</v>
      </c>
      <c r="X26" s="5" t="s">
        <v>172</v>
      </c>
      <c r="Y26" s="13" t="s">
        <v>189</v>
      </c>
      <c r="Z26" s="13" t="s">
        <v>190</v>
      </c>
    </row>
    <row r="27" customFormat="false" ht="15" hidden="false" customHeight="false" outlineLevel="0" collapsed="false">
      <c r="A27" s="13" t="s">
        <v>191</v>
      </c>
      <c r="B27" s="13" t="s">
        <v>192</v>
      </c>
      <c r="C27" s="13" t="s">
        <v>74</v>
      </c>
      <c r="D27" s="13" t="s">
        <v>193</v>
      </c>
      <c r="E27" s="13" t="s">
        <v>44</v>
      </c>
      <c r="F27" s="13" t="s">
        <v>87</v>
      </c>
      <c r="G27" s="14" t="n">
        <v>28.5</v>
      </c>
      <c r="H27" s="14"/>
      <c r="I27" s="15" t="n">
        <v>2800</v>
      </c>
      <c r="J27" s="16" t="s">
        <v>69</v>
      </c>
      <c r="K27" s="17" t="n">
        <v>308.319</v>
      </c>
      <c r="L27" s="17" t="n">
        <v>271.044</v>
      </c>
      <c r="M27" s="18" t="n">
        <v>-52.956</v>
      </c>
      <c r="N27" s="19" t="n">
        <f aca="false">IF(AND(ISNUMBER(I27),ISNUMBER(K27),K27&gt;0),I27/K27,"")</f>
        <v>9.08150324825911</v>
      </c>
      <c r="O27" s="20" t="n">
        <f aca="false">IF(AND(ISNUMBER(K27),ISNUMBER(L27),L27&gt;0),K27/L27-1,"")</f>
        <v>0.137523796874308</v>
      </c>
      <c r="P27" s="20" t="n">
        <f aca="false">IF(AND(ISNUMBER(M27),ISNUMBER(K27),K27&gt;0),M27/K27,"")</f>
        <v>-0.171757173576718</v>
      </c>
      <c r="Q27" s="19" t="str">
        <f aca="false">IF(AND(ISNUMBER(I27),ISNUMBER(M27),M27&gt;0),I27/M27,"")</f>
        <v/>
      </c>
      <c r="R27" s="20" t="str">
        <f aca="false">IF(AND(ISNUMBER(G27),ISNUMBER(H27),H27&gt;0),G27/H27-1,"")</f>
        <v/>
      </c>
      <c r="S27" s="16" t="n">
        <v>0</v>
      </c>
      <c r="T27" s="13" t="n">
        <f aca="false">IF(ISNUMBER(S27),IF(S27&gt;=1,1,0),"")</f>
        <v>0</v>
      </c>
      <c r="U27" s="13" t="n">
        <f aca="false">IF(ISNUMBER(S27),IF(S27&gt;=2,1,0),"")</f>
        <v>0</v>
      </c>
      <c r="V27" s="13" t="n">
        <v>1</v>
      </c>
      <c r="W27" s="13" t="n">
        <v>0</v>
      </c>
      <c r="X27" s="13" t="s">
        <v>61</v>
      </c>
      <c r="Y27" s="13" t="s">
        <v>194</v>
      </c>
      <c r="Z27" s="13" t="s">
        <v>195</v>
      </c>
    </row>
    <row r="28" customFormat="false" ht="15" hidden="false" customHeight="false" outlineLevel="0" collapsed="false">
      <c r="A28" s="13" t="s">
        <v>196</v>
      </c>
      <c r="B28" s="13" t="s">
        <v>197</v>
      </c>
      <c r="C28" s="13" t="s">
        <v>52</v>
      </c>
      <c r="D28" s="13" t="s">
        <v>198</v>
      </c>
      <c r="E28" s="13" t="s">
        <v>44</v>
      </c>
      <c r="F28" s="13" t="s">
        <v>54</v>
      </c>
      <c r="G28" s="14" t="n">
        <v>93.5</v>
      </c>
      <c r="H28" s="14"/>
      <c r="I28" s="15" t="n">
        <v>8400</v>
      </c>
      <c r="J28" s="16" t="s">
        <v>69</v>
      </c>
      <c r="K28" s="17" t="n">
        <v>789.432</v>
      </c>
      <c r="L28" s="17" t="n">
        <v>595.307</v>
      </c>
      <c r="M28" s="18" t="n">
        <v>-98.746</v>
      </c>
      <c r="N28" s="19" t="n">
        <f aca="false">IF(AND(ISNUMBER(I28),ISNUMBER(K28),K28&gt;0),I28/K28,"")</f>
        <v>10.6405618216642</v>
      </c>
      <c r="O28" s="20" t="n">
        <f aca="false">IF(AND(ISNUMBER(K28),ISNUMBER(L28),L28&gt;0),K28/L28-1,"")</f>
        <v>0.326092251560959</v>
      </c>
      <c r="P28" s="20" t="n">
        <f aca="false">IF(AND(ISNUMBER(M28),ISNUMBER(K28),K28&gt;0),M28/K28,"")</f>
        <v>-0.125084871147863</v>
      </c>
      <c r="Q28" s="19" t="str">
        <f aca="false">IF(AND(ISNUMBER(I28),ISNUMBER(M28),M28&gt;0),I28/M28,"")</f>
        <v/>
      </c>
      <c r="R28" s="20" t="str">
        <f aca="false">IF(AND(ISNUMBER(G28),ISNUMBER(H28),H28&gt;0),G28/H28-1,"")</f>
        <v/>
      </c>
      <c r="S28" s="16" t="n">
        <v>0</v>
      </c>
      <c r="T28" s="13" t="n">
        <f aca="false">IF(ISNUMBER(S28),IF(S28&gt;=1,1,0),"")</f>
        <v>0</v>
      </c>
      <c r="U28" s="13" t="n">
        <f aca="false">IF(ISNUMBER(S28),IF(S28&gt;=2,1,0),"")</f>
        <v>0</v>
      </c>
      <c r="V28" s="13" t="n">
        <v>1</v>
      </c>
      <c r="W28" s="13" t="n">
        <v>0</v>
      </c>
      <c r="X28" s="13" t="s">
        <v>61</v>
      </c>
      <c r="Y28" s="13" t="s">
        <v>199</v>
      </c>
      <c r="Z28" s="13" t="s">
        <v>200</v>
      </c>
    </row>
    <row r="29" customFormat="false" ht="15" hidden="false" customHeight="false" outlineLevel="0" collapsed="false">
      <c r="A29" s="13" t="s">
        <v>201</v>
      </c>
      <c r="B29" s="13" t="s">
        <v>202</v>
      </c>
      <c r="C29" s="13" t="s">
        <v>74</v>
      </c>
      <c r="D29" s="13" t="s">
        <v>203</v>
      </c>
      <c r="E29" s="13" t="s">
        <v>44</v>
      </c>
      <c r="F29" s="13" t="s">
        <v>54</v>
      </c>
      <c r="G29" s="14" t="n">
        <v>81</v>
      </c>
      <c r="H29" s="14"/>
      <c r="I29" s="15" t="n">
        <v>8000</v>
      </c>
      <c r="J29" s="16" t="s">
        <v>69</v>
      </c>
      <c r="K29" s="17" t="n">
        <v>818.108</v>
      </c>
      <c r="L29" s="17" t="n">
        <v>695.535</v>
      </c>
      <c r="M29" s="18" t="n">
        <v>-128.224</v>
      </c>
      <c r="N29" s="19" t="n">
        <f aca="false">IF(AND(ISNUMBER(I29),ISNUMBER(K29),K29&gt;0),I29/K29,"")</f>
        <v>9.77866003021606</v>
      </c>
      <c r="O29" s="20" t="n">
        <f aca="false">IF(AND(ISNUMBER(K29),ISNUMBER(L29),L29&gt;0),K29/L29-1,"")</f>
        <v>0.176228370966235</v>
      </c>
      <c r="P29" s="20" t="n">
        <f aca="false">IF(AND(ISNUMBER(M29),ISNUMBER(K29),K29&gt;0),M29/K29,"")</f>
        <v>-0.156732362964303</v>
      </c>
      <c r="Q29" s="19" t="str">
        <f aca="false">IF(AND(ISNUMBER(I29),ISNUMBER(M29),M29&gt;0),I29/M29,"")</f>
        <v/>
      </c>
      <c r="R29" s="20" t="str">
        <f aca="false">IF(AND(ISNUMBER(G29),ISNUMBER(H29),H29&gt;0),G29/H29-1,"")</f>
        <v/>
      </c>
      <c r="S29" s="16" t="n">
        <v>0</v>
      </c>
      <c r="T29" s="13" t="n">
        <f aca="false">IF(ISNUMBER(S29),IF(S29&gt;=1,1,0),"")</f>
        <v>0</v>
      </c>
      <c r="U29" s="13" t="n">
        <f aca="false">IF(ISNUMBER(S29),IF(S29&gt;=2,1,0),"")</f>
        <v>0</v>
      </c>
      <c r="V29" s="13" t="n">
        <v>1</v>
      </c>
      <c r="W29" s="13" t="n">
        <v>0</v>
      </c>
      <c r="X29" s="13" t="s">
        <v>61</v>
      </c>
      <c r="Y29" s="13" t="s">
        <v>204</v>
      </c>
      <c r="Z29" s="13" t="s">
        <v>205</v>
      </c>
    </row>
    <row r="30" customFormat="false" ht="15" hidden="false" customHeight="false" outlineLevel="0" collapsed="false">
      <c r="A30" s="5" t="s">
        <v>206</v>
      </c>
      <c r="B30" s="5" t="s">
        <v>207</v>
      </c>
      <c r="C30" s="5" t="s">
        <v>52</v>
      </c>
      <c r="D30" s="5" t="s">
        <v>208</v>
      </c>
      <c r="E30" s="5" t="s">
        <v>44</v>
      </c>
      <c r="F30" s="5" t="s">
        <v>54</v>
      </c>
      <c r="G30" s="6" t="n">
        <v>19</v>
      </c>
      <c r="H30" s="6" t="n">
        <v>12.99</v>
      </c>
      <c r="I30" s="7"/>
      <c r="J30" s="8" t="s">
        <v>46</v>
      </c>
      <c r="K30" s="9" t="n">
        <v>310.082</v>
      </c>
      <c r="L30" s="9" t="n">
        <v>274.865</v>
      </c>
      <c r="M30" s="10" t="n">
        <v>8.174</v>
      </c>
      <c r="N30" s="11" t="str">
        <f aca="false">IF(AND(ISNUMBER(I30),ISNUMBER(K30),K30&gt;0),I30/K30,"")</f>
        <v/>
      </c>
      <c r="O30" s="12" t="n">
        <f aca="false">IF(AND(ISNUMBER(K30),ISNUMBER(L30),L30&gt;0),K30/L30-1,"")</f>
        <v>0.12812471576956</v>
      </c>
      <c r="P30" s="12" t="n">
        <f aca="false">IF(AND(ISNUMBER(M30),ISNUMBER(K30),K30&gt;0),M30/K30,"")</f>
        <v>0.0263607690868867</v>
      </c>
      <c r="Q30" s="11" t="str">
        <f aca="false">IF(AND(ISNUMBER(I30),ISNUMBER(M30),M30&gt;0),I30/M30,"")</f>
        <v/>
      </c>
      <c r="R30" s="12" t="n">
        <f aca="false">IF(AND(ISNUMBER(G30),ISNUMBER(H30),H30&gt;0),G30/H30-1,"")</f>
        <v>0.462663587374904</v>
      </c>
      <c r="S30" s="8" t="n">
        <v>0</v>
      </c>
      <c r="T30" s="5" t="n">
        <f aca="false">IF(ISNUMBER(S30),IF(S30&gt;=1,1,0),"")</f>
        <v>0</v>
      </c>
      <c r="U30" s="5" t="n">
        <f aca="false">IF(ISNUMBER(S30),IF(S30&gt;=2,1,0),"")</f>
        <v>0</v>
      </c>
      <c r="V30" s="5" t="n">
        <v>0</v>
      </c>
      <c r="W30" s="5" t="n">
        <v>1</v>
      </c>
      <c r="X30" s="5" t="s">
        <v>47</v>
      </c>
      <c r="Y30" s="13" t="s">
        <v>209</v>
      </c>
      <c r="Z30" s="13" t="s">
        <v>210</v>
      </c>
    </row>
    <row r="31" customFormat="false" ht="15" hidden="false" customHeight="false" outlineLevel="0" collapsed="false">
      <c r="A31" s="13" t="s">
        <v>211</v>
      </c>
      <c r="B31" s="13" t="s">
        <v>212</v>
      </c>
      <c r="C31" s="13" t="s">
        <v>213</v>
      </c>
      <c r="D31" s="13" t="s">
        <v>214</v>
      </c>
      <c r="E31" s="13" t="s">
        <v>44</v>
      </c>
      <c r="F31" s="13" t="s">
        <v>45</v>
      </c>
      <c r="G31" s="14" t="n">
        <v>12.05</v>
      </c>
      <c r="H31" s="14"/>
      <c r="I31" s="15" t="n">
        <v>1377.856</v>
      </c>
      <c r="J31" s="16" t="s">
        <v>55</v>
      </c>
      <c r="K31" s="17" t="n">
        <v>287.964</v>
      </c>
      <c r="L31" s="17" t="n">
        <v>229.228</v>
      </c>
      <c r="M31" s="18" t="n">
        <v>-112.334</v>
      </c>
      <c r="N31" s="19" t="n">
        <f aca="false">IF(AND(ISNUMBER(I31),ISNUMBER(K31),K31&gt;0),I31/K31,"")</f>
        <v>4.78482032476282</v>
      </c>
      <c r="O31" s="20" t="n">
        <f aca="false">IF(AND(ISNUMBER(K31),ISNUMBER(L31),L31&gt;0),K31/L31-1,"")</f>
        <v>0.256233967927129</v>
      </c>
      <c r="P31" s="20" t="n">
        <f aca="false">IF(AND(ISNUMBER(M31),ISNUMBER(K31),K31&gt;0),M31/K31,"")</f>
        <v>-0.390097373282772</v>
      </c>
      <c r="Q31" s="19" t="str">
        <f aca="false">IF(AND(ISNUMBER(I31),ISNUMBER(M31),M31&gt;0),I31/M31,"")</f>
        <v/>
      </c>
      <c r="R31" s="20" t="str">
        <f aca="false">IF(AND(ISNUMBER(G31),ISNUMBER(H31),H31&gt;0),G31/H31-1,"")</f>
        <v/>
      </c>
      <c r="S31" s="16" t="n">
        <v>1</v>
      </c>
      <c r="T31" s="13" t="n">
        <f aca="false">IF(ISNUMBER(S31),IF(S31&gt;=1,1,0),"")</f>
        <v>1</v>
      </c>
      <c r="U31" s="13" t="n">
        <f aca="false">IF(ISNUMBER(S31),IF(S31&gt;=2,1,0),"")</f>
        <v>0</v>
      </c>
      <c r="V31" s="13" t="n">
        <v>1</v>
      </c>
      <c r="W31" s="13" t="n">
        <v>0</v>
      </c>
      <c r="X31" s="13" t="s">
        <v>172</v>
      </c>
      <c r="Y31" s="13" t="s">
        <v>215</v>
      </c>
      <c r="Z31" s="13" t="s">
        <v>216</v>
      </c>
    </row>
    <row r="32" customFormat="false" ht="15" hidden="false" customHeight="false" outlineLevel="0" collapsed="false">
      <c r="A32" s="13" t="s">
        <v>217</v>
      </c>
      <c r="B32" s="13" t="s">
        <v>218</v>
      </c>
      <c r="C32" s="13" t="s">
        <v>219</v>
      </c>
      <c r="D32" s="13" t="s">
        <v>220</v>
      </c>
      <c r="E32" s="13" t="s">
        <v>44</v>
      </c>
      <c r="F32" s="13" t="s">
        <v>54</v>
      </c>
      <c r="G32" s="14" t="n">
        <v>18.15</v>
      </c>
      <c r="H32" s="14" t="n">
        <v>11.21</v>
      </c>
      <c r="I32" s="15" t="n">
        <v>11680.1</v>
      </c>
      <c r="J32" s="16" t="s">
        <v>55</v>
      </c>
      <c r="K32" s="17" t="n">
        <v>1458.6</v>
      </c>
      <c r="L32" s="17" t="n">
        <v>1075.7</v>
      </c>
      <c r="M32" s="18" t="n">
        <v>-951.435</v>
      </c>
      <c r="N32" s="19" t="n">
        <f aca="false">IF(AND(ISNUMBER(I32),ISNUMBER(K32),K32&gt;0),I32/K32,"")</f>
        <v>8.00774715480598</v>
      </c>
      <c r="O32" s="20" t="n">
        <f aca="false">IF(AND(ISNUMBER(K32),ISNUMBER(L32),L32&gt;0),K32/L32-1,"")</f>
        <v>0.355954262340801</v>
      </c>
      <c r="P32" s="20" t="n">
        <f aca="false">IF(AND(ISNUMBER(M32),ISNUMBER(K32),K32&gt;0),M32/K32,"")</f>
        <v>-0.652293294940354</v>
      </c>
      <c r="Q32" s="19" t="str">
        <f aca="false">IF(AND(ISNUMBER(I32),ISNUMBER(M32),M32&gt;0),I32/M32,"")</f>
        <v/>
      </c>
      <c r="R32" s="20" t="n">
        <f aca="false">IF(AND(ISNUMBER(G32),ISNUMBER(H32),H32&gt;0),G32/H32-1,"")</f>
        <v>0.619090098126672</v>
      </c>
      <c r="S32" s="16" t="n">
        <v>0</v>
      </c>
      <c r="T32" s="13" t="n">
        <f aca="false">IF(ISNUMBER(S32),IF(S32&gt;=1,1,0),"")</f>
        <v>0</v>
      </c>
      <c r="U32" s="13" t="n">
        <f aca="false">IF(ISNUMBER(S32),IF(S32&gt;=2,1,0),"")</f>
        <v>0</v>
      </c>
      <c r="V32" s="13" t="n">
        <v>1</v>
      </c>
      <c r="W32" s="13" t="n">
        <v>1</v>
      </c>
      <c r="X32" s="13" t="s">
        <v>172</v>
      </c>
      <c r="Y32" s="13" t="s">
        <v>221</v>
      </c>
      <c r="Z32" s="13" t="s">
        <v>222</v>
      </c>
    </row>
    <row r="33" customFormat="false" ht="15" hidden="false" customHeight="false" outlineLevel="0" collapsed="false">
      <c r="A33" s="5" t="s">
        <v>223</v>
      </c>
      <c r="B33" s="5" t="s">
        <v>224</v>
      </c>
      <c r="C33" s="5" t="s">
        <v>225</v>
      </c>
      <c r="D33" s="5" t="s">
        <v>220</v>
      </c>
      <c r="E33" s="5" t="s">
        <v>44</v>
      </c>
      <c r="F33" s="5" t="s">
        <v>54</v>
      </c>
      <c r="G33" s="6" t="n">
        <v>9.46</v>
      </c>
      <c r="H33" s="6"/>
      <c r="I33" s="7"/>
      <c r="J33" s="8" t="s">
        <v>46</v>
      </c>
      <c r="K33" s="9" t="n">
        <v>480.917</v>
      </c>
      <c r="L33" s="9" t="n">
        <v>443.786</v>
      </c>
      <c r="M33" s="10" t="n">
        <v>-52.612</v>
      </c>
      <c r="N33" s="11" t="str">
        <f aca="false">IF(AND(ISNUMBER(I33),ISNUMBER(K33),K33&gt;0),I33/K33,"")</f>
        <v/>
      </c>
      <c r="O33" s="12" t="n">
        <f aca="false">IF(AND(ISNUMBER(K33),ISNUMBER(L33),L33&gt;0),K33/L33-1,"")</f>
        <v>0.0836687051867342</v>
      </c>
      <c r="P33" s="12" t="n">
        <f aca="false">IF(AND(ISNUMBER(M33),ISNUMBER(K33),K33&gt;0),M33/K33,"")</f>
        <v>-0.109399335020388</v>
      </c>
      <c r="Q33" s="11" t="str">
        <f aca="false">IF(AND(ISNUMBER(I33),ISNUMBER(M33),M33&gt;0),I33/M33,"")</f>
        <v/>
      </c>
      <c r="R33" s="12" t="str">
        <f aca="false">IF(AND(ISNUMBER(G33),ISNUMBER(H33),H33&gt;0),G33/H33-1,"")</f>
        <v/>
      </c>
      <c r="S33" s="8" t="n">
        <v>1</v>
      </c>
      <c r="T33" s="5" t="n">
        <f aca="false">IF(ISNUMBER(S33),IF(S33&gt;=1,1,0),"")</f>
        <v>1</v>
      </c>
      <c r="U33" s="5" t="n">
        <f aca="false">IF(ISNUMBER(S33),IF(S33&gt;=2,1,0),"")</f>
        <v>0</v>
      </c>
      <c r="V33" s="5" t="n">
        <v>0</v>
      </c>
      <c r="W33" s="5" t="n">
        <v>0</v>
      </c>
      <c r="X33" s="5" t="s">
        <v>172</v>
      </c>
      <c r="Y33" s="13" t="s">
        <v>226</v>
      </c>
      <c r="Z33" s="13" t="s">
        <v>227</v>
      </c>
    </row>
    <row r="34" customFormat="false" ht="15" hidden="false" customHeight="false" outlineLevel="0" collapsed="false">
      <c r="A34" s="13" t="s">
        <v>228</v>
      </c>
      <c r="B34" s="13" t="s">
        <v>229</v>
      </c>
      <c r="C34" s="13" t="s">
        <v>230</v>
      </c>
      <c r="D34" s="13" t="s">
        <v>231</v>
      </c>
      <c r="E34" s="13" t="s">
        <v>44</v>
      </c>
      <c r="F34" s="13" t="s">
        <v>45</v>
      </c>
      <c r="G34" s="14" t="n">
        <v>87</v>
      </c>
      <c r="H34" s="14"/>
      <c r="I34" s="15" t="n">
        <v>6120.232</v>
      </c>
      <c r="J34" s="16" t="s">
        <v>55</v>
      </c>
      <c r="K34" s="17" t="n">
        <v>925.626</v>
      </c>
      <c r="L34" s="17" t="n">
        <v>785.521</v>
      </c>
      <c r="M34" s="18" t="n">
        <v>-121.863</v>
      </c>
      <c r="N34" s="19" t="n">
        <f aca="false">IF(AND(ISNUMBER(I34),ISNUMBER(K34),K34&gt;0),I34/K34,"")</f>
        <v>6.61199231655118</v>
      </c>
      <c r="O34" s="20" t="n">
        <f aca="false">IF(AND(ISNUMBER(K34),ISNUMBER(L34),L34&gt;0),K34/L34-1,"")</f>
        <v>0.178359330940866</v>
      </c>
      <c r="P34" s="20" t="n">
        <f aca="false">IF(AND(ISNUMBER(M34),ISNUMBER(K34),K34&gt;0),M34/K34,"")</f>
        <v>-0.131654685585755</v>
      </c>
      <c r="Q34" s="19" t="str">
        <f aca="false">IF(AND(ISNUMBER(I34),ISNUMBER(M34),M34&gt;0),I34/M34,"")</f>
        <v/>
      </c>
      <c r="R34" s="20" t="str">
        <f aca="false">IF(AND(ISNUMBER(G34),ISNUMBER(H34),H34&gt;0),G34/H34-1,"")</f>
        <v/>
      </c>
      <c r="S34" s="16" t="n">
        <v>1</v>
      </c>
      <c r="T34" s="13" t="n">
        <f aca="false">IF(ISNUMBER(S34),IF(S34&gt;=1,1,0),"")</f>
        <v>1</v>
      </c>
      <c r="U34" s="13" t="n">
        <f aca="false">IF(ISNUMBER(S34),IF(S34&gt;=2,1,0),"")</f>
        <v>0</v>
      </c>
      <c r="V34" s="13" t="n">
        <v>1</v>
      </c>
      <c r="W34" s="13" t="n">
        <v>0</v>
      </c>
      <c r="X34" s="13" t="s">
        <v>47</v>
      </c>
      <c r="Y34" s="13" t="s">
        <v>232</v>
      </c>
      <c r="Z34" s="13" t="s">
        <v>233</v>
      </c>
    </row>
    <row r="35" customFormat="false" ht="15" hidden="false" customHeight="false" outlineLevel="0" collapsed="false">
      <c r="A35" s="13" t="s">
        <v>234</v>
      </c>
      <c r="B35" s="13" t="s">
        <v>235</v>
      </c>
      <c r="C35" s="13" t="s">
        <v>236</v>
      </c>
      <c r="D35" s="13" t="s">
        <v>237</v>
      </c>
      <c r="E35" s="13" t="s">
        <v>68</v>
      </c>
      <c r="F35" s="13" t="s">
        <v>45</v>
      </c>
      <c r="G35" s="14" t="n">
        <v>157</v>
      </c>
      <c r="H35" s="14" t="n">
        <v>119.59</v>
      </c>
      <c r="I35" s="15" t="n">
        <v>29430.398</v>
      </c>
      <c r="J35" s="16" t="s">
        <v>55</v>
      </c>
      <c r="K35" s="17" t="n">
        <v>3843.3</v>
      </c>
      <c r="L35" s="17" t="n">
        <v>3038.704</v>
      </c>
      <c r="M35" s="18" t="n">
        <v>69.665</v>
      </c>
      <c r="N35" s="19" t="n">
        <f aca="false">IF(AND(ISNUMBER(I35),ISNUMBER(K35),K35&gt;0),I35/K35,"")</f>
        <v>7.65758540837301</v>
      </c>
      <c r="O35" s="20" t="n">
        <f aca="false">IF(AND(ISNUMBER(K35),ISNUMBER(L35),L35&gt;0),K35/L35-1,"")</f>
        <v>0.264782617852874</v>
      </c>
      <c r="P35" s="20" t="n">
        <f aca="false">IF(AND(ISNUMBER(M35),ISNUMBER(K35),K35&gt;0),M35/K35,"")</f>
        <v>0.0181263497515156</v>
      </c>
      <c r="Q35" s="19" t="n">
        <f aca="false">IF(AND(ISNUMBER(I35),ISNUMBER(M35),M35&gt;0),I35/M35,"")</f>
        <v>422.456010909352</v>
      </c>
      <c r="R35" s="20" t="n">
        <f aca="false">IF(AND(ISNUMBER(G35),ISNUMBER(H35),H35&gt;0),G35/H35-1,"")</f>
        <v>0.312818797558324</v>
      </c>
      <c r="S35" s="16" t="n">
        <v>0</v>
      </c>
      <c r="T35" s="13" t="n">
        <f aca="false">IF(ISNUMBER(S35),IF(S35&gt;=1,1,0),"")</f>
        <v>0</v>
      </c>
      <c r="U35" s="13" t="n">
        <f aca="false">IF(ISNUMBER(S35),IF(S35&gt;=2,1,0),"")</f>
        <v>0</v>
      </c>
      <c r="V35" s="13" t="n">
        <v>1</v>
      </c>
      <c r="W35" s="13" t="n">
        <v>1</v>
      </c>
      <c r="X35" s="13" t="s">
        <v>172</v>
      </c>
      <c r="Y35" s="13" t="s">
        <v>238</v>
      </c>
      <c r="Z35" s="13" t="s">
        <v>239</v>
      </c>
    </row>
    <row r="36" customFormat="false" ht="15" hidden="false" customHeight="false" outlineLevel="0" collapsed="false">
      <c r="A36" s="13" t="s">
        <v>240</v>
      </c>
      <c r="B36" s="13" t="s">
        <v>241</v>
      </c>
      <c r="C36" s="13" t="s">
        <v>242</v>
      </c>
      <c r="D36" s="13" t="s">
        <v>243</v>
      </c>
      <c r="E36" s="13" t="s">
        <v>44</v>
      </c>
      <c r="F36" s="13" t="s">
        <v>54</v>
      </c>
      <c r="G36" s="14" t="n">
        <v>48.25</v>
      </c>
      <c r="H36" s="14"/>
      <c r="I36" s="15" t="n">
        <v>4400</v>
      </c>
      <c r="J36" s="16" t="s">
        <v>69</v>
      </c>
      <c r="K36" s="17" t="n">
        <v>920</v>
      </c>
      <c r="L36" s="17" t="n">
        <v>728.081</v>
      </c>
      <c r="M36" s="18"/>
      <c r="N36" s="19" t="n">
        <f aca="false">IF(AND(ISNUMBER(I36),ISNUMBER(K36),K36&gt;0),I36/K36,"")</f>
        <v>4.78260869565217</v>
      </c>
      <c r="O36" s="20" t="n">
        <f aca="false">IF(AND(ISNUMBER(K36),ISNUMBER(L36),L36&gt;0),K36/L36-1,"")</f>
        <v>0.263595671360741</v>
      </c>
      <c r="P36" s="20" t="str">
        <f aca="false">IF(AND(ISNUMBER(M36),ISNUMBER(K36),K36&gt;0),M36/K36,"")</f>
        <v/>
      </c>
      <c r="Q36" s="19" t="str">
        <f aca="false">IF(AND(ISNUMBER(I36),ISNUMBER(M36),M36&gt;0),I36/M36,"")</f>
        <v/>
      </c>
      <c r="R36" s="20" t="str">
        <f aca="false">IF(AND(ISNUMBER(G36),ISNUMBER(H36),H36&gt;0),G36/H36-1,"")</f>
        <v/>
      </c>
      <c r="S36" s="16" t="n">
        <v>1</v>
      </c>
      <c r="T36" s="13" t="n">
        <f aca="false">IF(ISNUMBER(S36),IF(S36&gt;=1,1,0),"")</f>
        <v>1</v>
      </c>
      <c r="U36" s="13" t="n">
        <f aca="false">IF(ISNUMBER(S36),IF(S36&gt;=2,1,0),"")</f>
        <v>0</v>
      </c>
      <c r="V36" s="13" t="n">
        <v>1</v>
      </c>
      <c r="W36" s="13" t="n">
        <v>0</v>
      </c>
      <c r="X36" s="13" t="s">
        <v>61</v>
      </c>
      <c r="Y36" s="13" t="s">
        <v>244</v>
      </c>
      <c r="Z36" s="13" t="s">
        <v>245</v>
      </c>
    </row>
    <row r="37" customFormat="false" ht="15" hidden="false" customHeight="false" outlineLevel="0" collapsed="false">
      <c r="A37" s="5" t="s">
        <v>246</v>
      </c>
      <c r="B37" s="5" t="s">
        <v>247</v>
      </c>
      <c r="C37" s="5" t="s">
        <v>248</v>
      </c>
      <c r="D37" s="5" t="s">
        <v>249</v>
      </c>
      <c r="E37" s="5" t="s">
        <v>68</v>
      </c>
      <c r="F37" s="5"/>
      <c r="G37" s="6" t="n">
        <v>40</v>
      </c>
      <c r="H37" s="6" t="n">
        <v>30.22</v>
      </c>
      <c r="I37" s="7" t="n">
        <v>14211.4</v>
      </c>
      <c r="J37" s="8" t="s">
        <v>55</v>
      </c>
      <c r="K37" s="9" t="n">
        <v>5648.5</v>
      </c>
      <c r="L37" s="9" t="n">
        <v>5152.3</v>
      </c>
      <c r="M37" s="10" t="n">
        <v>747.6</v>
      </c>
      <c r="N37" s="11" t="n">
        <f aca="false">IF(AND(ISNUMBER(I37),ISNUMBER(K37),K37&gt;0),I37/K37,"")</f>
        <v>2.51595998937771</v>
      </c>
      <c r="O37" s="12" t="n">
        <f aca="false">IF(AND(ISNUMBER(K37),ISNUMBER(L37),L37&gt;0),K37/L37-1,"")</f>
        <v>0.0963065038914659</v>
      </c>
      <c r="P37" s="12" t="n">
        <f aca="false">IF(AND(ISNUMBER(M37),ISNUMBER(K37),K37&gt;0),M37/K37,"")</f>
        <v>0.13235372222714</v>
      </c>
      <c r="Q37" s="11" t="n">
        <f aca="false">IF(AND(ISNUMBER(I37),ISNUMBER(M37),M37&gt;0),I37/M37,"")</f>
        <v>19.0093632958802</v>
      </c>
      <c r="R37" s="12" t="n">
        <f aca="false">IF(AND(ISNUMBER(G37),ISNUMBER(H37),H37&gt;0),G37/H37-1,"")</f>
        <v>0.323626737260093</v>
      </c>
      <c r="S37" s="8"/>
      <c r="T37" s="5" t="str">
        <f aca="false">IF(ISNUMBER(S37),IF(S37&gt;=1,1,0),"")</f>
        <v/>
      </c>
      <c r="U37" s="5" t="str">
        <f aca="false">IF(ISNUMBER(S37),IF(S37&gt;=2,1,0),"")</f>
        <v/>
      </c>
      <c r="V37" s="5" t="n">
        <v>0</v>
      </c>
      <c r="W37" s="5" t="n">
        <v>0</v>
      </c>
      <c r="X37" s="5" t="s">
        <v>172</v>
      </c>
      <c r="Y37" s="13" t="s">
        <v>250</v>
      </c>
      <c r="Z37" s="13" t="s">
        <v>251</v>
      </c>
    </row>
    <row r="38" customFormat="false" ht="15" hidden="false" customHeight="false" outlineLevel="0" collapsed="false">
      <c r="A38" s="13" t="s">
        <v>252</v>
      </c>
      <c r="B38" s="13" t="s">
        <v>253</v>
      </c>
      <c r="C38" s="13" t="s">
        <v>254</v>
      </c>
      <c r="D38" s="13" t="s">
        <v>255</v>
      </c>
      <c r="E38" s="13" t="s">
        <v>68</v>
      </c>
      <c r="F38" s="13" t="s">
        <v>54</v>
      </c>
      <c r="G38" s="14" t="n">
        <v>390.19</v>
      </c>
      <c r="H38" s="14"/>
      <c r="I38" s="15" t="n">
        <v>35000</v>
      </c>
      <c r="J38" s="16" t="s">
        <v>69</v>
      </c>
      <c r="K38" s="17" t="n">
        <v>2158.956</v>
      </c>
      <c r="L38" s="17" t="n">
        <v>2027.105</v>
      </c>
      <c r="M38" s="18" t="n">
        <v>680.576</v>
      </c>
      <c r="N38" s="19" t="n">
        <f aca="false">IF(AND(ISNUMBER(I38),ISNUMBER(K38),K38&gt;0),I38/K38,"")</f>
        <v>16.2115392810229</v>
      </c>
      <c r="O38" s="20" t="n">
        <f aca="false">IF(AND(ISNUMBER(K38),ISNUMBER(L38),L38&gt;0),K38/L38-1,"")</f>
        <v>0.0650439913078011</v>
      </c>
      <c r="P38" s="20" t="n">
        <f aca="false">IF(AND(ISNUMBER(M38),ISNUMBER(K38),K38&gt;0),M38/K38,"")</f>
        <v>0.315233844506326</v>
      </c>
      <c r="Q38" s="19" t="n">
        <f aca="false">IF(AND(ISNUMBER(I38),ISNUMBER(M38),M38&gt;0),I38/M38,"")</f>
        <v>51.4270265187136</v>
      </c>
      <c r="R38" s="20" t="str">
        <f aca="false">IF(AND(ISNUMBER(G38),ISNUMBER(H38),H38&gt;0),G38/H38-1,"")</f>
        <v/>
      </c>
      <c r="S38" s="16" t="n">
        <v>0</v>
      </c>
      <c r="T38" s="13" t="n">
        <f aca="false">IF(ISNUMBER(S38),IF(S38&gt;=1,1,0),"")</f>
        <v>0</v>
      </c>
      <c r="U38" s="13" t="n">
        <f aca="false">IF(ISNUMBER(S38),IF(S38&gt;=2,1,0),"")</f>
        <v>0</v>
      </c>
      <c r="V38" s="13" t="n">
        <v>1</v>
      </c>
      <c r="W38" s="13" t="n">
        <v>0</v>
      </c>
      <c r="X38" s="13" t="s">
        <v>61</v>
      </c>
      <c r="Y38" s="13" t="s">
        <v>256</v>
      </c>
      <c r="Z38" s="13" t="s">
        <v>257</v>
      </c>
    </row>
    <row r="39" customFormat="false" ht="15" hidden="false" customHeight="false" outlineLevel="0" collapsed="false">
      <c r="A39" s="5" t="s">
        <v>258</v>
      </c>
      <c r="B39" s="5" t="s">
        <v>259</v>
      </c>
      <c r="C39" s="5" t="s">
        <v>74</v>
      </c>
      <c r="D39" s="5" t="s">
        <v>260</v>
      </c>
      <c r="E39" s="5" t="s">
        <v>44</v>
      </c>
      <c r="F39" s="5" t="s">
        <v>54</v>
      </c>
      <c r="G39" s="6" t="n">
        <v>35</v>
      </c>
      <c r="H39" s="6"/>
      <c r="I39" s="7"/>
      <c r="J39" s="8" t="s">
        <v>46</v>
      </c>
      <c r="K39" s="9" t="n">
        <v>450.158</v>
      </c>
      <c r="L39" s="9" t="n">
        <v>417.59</v>
      </c>
      <c r="M39" s="10" t="n">
        <v>6.343</v>
      </c>
      <c r="N39" s="11" t="str">
        <f aca="false">IF(AND(ISNUMBER(I39),ISNUMBER(K39),K39&gt;0),I39/K39,"")</f>
        <v/>
      </c>
      <c r="O39" s="12" t="n">
        <f aca="false">IF(AND(ISNUMBER(K39),ISNUMBER(L39),L39&gt;0),K39/L39-1,"")</f>
        <v>0.0779903733326948</v>
      </c>
      <c r="P39" s="12" t="n">
        <f aca="false">IF(AND(ISNUMBER(M39),ISNUMBER(K39),K39&gt;0),M39/K39,"")</f>
        <v>0.014090608186459</v>
      </c>
      <c r="Q39" s="11" t="str">
        <f aca="false">IF(AND(ISNUMBER(I39),ISNUMBER(M39),M39&gt;0),I39/M39,"")</f>
        <v/>
      </c>
      <c r="R39" s="12" t="str">
        <f aca="false">IF(AND(ISNUMBER(G39),ISNUMBER(H39),H39&gt;0),G39/H39-1,"")</f>
        <v/>
      </c>
      <c r="S39" s="8" t="n">
        <v>0</v>
      </c>
      <c r="T39" s="5" t="n">
        <f aca="false">IF(ISNUMBER(S39),IF(S39&gt;=1,1,0),"")</f>
        <v>0</v>
      </c>
      <c r="U39" s="5" t="n">
        <f aca="false">IF(ISNUMBER(S39),IF(S39&gt;=2,1,0),"")</f>
        <v>0</v>
      </c>
      <c r="V39" s="5" t="n">
        <v>0</v>
      </c>
      <c r="W39" s="5" t="n">
        <v>0</v>
      </c>
      <c r="X39" s="5" t="s">
        <v>47</v>
      </c>
      <c r="Y39" s="13" t="s">
        <v>261</v>
      </c>
      <c r="Z39" s="13" t="s">
        <v>262</v>
      </c>
    </row>
    <row r="40" customFormat="false" ht="15" hidden="false" customHeight="false" outlineLevel="0" collapsed="false">
      <c r="A40" s="5" t="s">
        <v>263</v>
      </c>
      <c r="B40" s="5" t="s">
        <v>264</v>
      </c>
      <c r="C40" s="5" t="s">
        <v>52</v>
      </c>
      <c r="D40" s="5" t="s">
        <v>265</v>
      </c>
      <c r="E40" s="5" t="s">
        <v>44</v>
      </c>
      <c r="F40" s="5" t="s">
        <v>54</v>
      </c>
      <c r="G40" s="6" t="n">
        <v>30</v>
      </c>
      <c r="H40" s="6" t="n">
        <v>27.09</v>
      </c>
      <c r="I40" s="7"/>
      <c r="J40" s="8" t="s">
        <v>46</v>
      </c>
      <c r="K40" s="9" t="n">
        <v>253.8</v>
      </c>
      <c r="L40" s="9"/>
      <c r="M40" s="10" t="n">
        <v>4.677</v>
      </c>
      <c r="N40" s="11" t="str">
        <f aca="false">IF(AND(ISNUMBER(I40),ISNUMBER(K40),K40&gt;0),I40/K40,"")</f>
        <v/>
      </c>
      <c r="O40" s="12" t="str">
        <f aca="false">IF(AND(ISNUMBER(K40),ISNUMBER(L40),L40&gt;0),K40/L40-1,"")</f>
        <v/>
      </c>
      <c r="P40" s="12" t="n">
        <f aca="false">IF(AND(ISNUMBER(M40),ISNUMBER(K40),K40&gt;0),M40/K40,"")</f>
        <v>0.0184278959810875</v>
      </c>
      <c r="Q40" s="11" t="str">
        <f aca="false">IF(AND(ISNUMBER(I40),ISNUMBER(M40),M40&gt;0),I40/M40,"")</f>
        <v/>
      </c>
      <c r="R40" s="12" t="n">
        <f aca="false">IF(AND(ISNUMBER(G40),ISNUMBER(H40),H40&gt;0),G40/H40-1,"")</f>
        <v>0.107419712070875</v>
      </c>
      <c r="S40" s="8" t="n">
        <v>0</v>
      </c>
      <c r="T40" s="5" t="n">
        <f aca="false">IF(ISNUMBER(S40),IF(S40&gt;=1,1,0),"")</f>
        <v>0</v>
      </c>
      <c r="U40" s="5" t="n">
        <f aca="false">IF(ISNUMBER(S40),IF(S40&gt;=2,1,0),"")</f>
        <v>0</v>
      </c>
      <c r="V40" s="5" t="n">
        <v>0</v>
      </c>
      <c r="W40" s="5" t="n">
        <v>1</v>
      </c>
      <c r="X40" s="5" t="s">
        <v>47</v>
      </c>
      <c r="Y40" s="13" t="s">
        <v>266</v>
      </c>
      <c r="Z40" s="13" t="s">
        <v>267</v>
      </c>
    </row>
    <row r="41" customFormat="false" ht="15" hidden="false" customHeight="false" outlineLevel="0" collapsed="false">
      <c r="A41" s="5" t="s">
        <v>268</v>
      </c>
      <c r="B41" s="5" t="s">
        <v>269</v>
      </c>
      <c r="C41" s="5" t="s">
        <v>270</v>
      </c>
      <c r="D41" s="5" t="s">
        <v>271</v>
      </c>
      <c r="E41" s="5" t="s">
        <v>44</v>
      </c>
      <c r="F41" s="5" t="s">
        <v>272</v>
      </c>
      <c r="G41" s="6" t="n">
        <v>46.5</v>
      </c>
      <c r="H41" s="6" t="n">
        <v>38.19</v>
      </c>
      <c r="I41" s="7"/>
      <c r="J41" s="8" t="s">
        <v>46</v>
      </c>
      <c r="K41" s="9" t="n">
        <v>1056.456</v>
      </c>
      <c r="L41" s="9" t="n">
        <v>896.238</v>
      </c>
      <c r="M41" s="10" t="n">
        <v>122.762</v>
      </c>
      <c r="N41" s="11" t="str">
        <f aca="false">IF(AND(ISNUMBER(I41),ISNUMBER(K41),K41&gt;0),I41/K41,"")</f>
        <v/>
      </c>
      <c r="O41" s="12" t="n">
        <f aca="false">IF(AND(ISNUMBER(K41),ISNUMBER(L41),L41&gt;0),K41/L41-1,"")</f>
        <v>0.178767247092848</v>
      </c>
      <c r="P41" s="12" t="n">
        <f aca="false">IF(AND(ISNUMBER(M41),ISNUMBER(K41),K41&gt;0),M41/K41,"")</f>
        <v>0.116201715925699</v>
      </c>
      <c r="Q41" s="11" t="str">
        <f aca="false">IF(AND(ISNUMBER(I41),ISNUMBER(M41),M41&gt;0),I41/M41,"")</f>
        <v/>
      </c>
      <c r="R41" s="12" t="n">
        <f aca="false">IF(AND(ISNUMBER(G41),ISNUMBER(H41),H41&gt;0),G41/H41-1,"")</f>
        <v>0.217596229379419</v>
      </c>
      <c r="S41" s="8" t="n">
        <v>0</v>
      </c>
      <c r="T41" s="5" t="n">
        <f aca="false">IF(ISNUMBER(S41),IF(S41&gt;=1,1,0),"")</f>
        <v>0</v>
      </c>
      <c r="U41" s="5" t="n">
        <f aca="false">IF(ISNUMBER(S41),IF(S41&gt;=2,1,0),"")</f>
        <v>0</v>
      </c>
      <c r="V41" s="5" t="n">
        <v>0</v>
      </c>
      <c r="W41" s="5" t="n">
        <v>1</v>
      </c>
      <c r="X41" s="5" t="s">
        <v>47</v>
      </c>
      <c r="Y41" s="13" t="s">
        <v>273</v>
      </c>
      <c r="Z41" s="13" t="s">
        <v>274</v>
      </c>
    </row>
    <row r="42" customFormat="false" ht="15" hidden="false" customHeight="false" outlineLevel="0" collapsed="false">
      <c r="A42" s="5" t="s">
        <v>275</v>
      </c>
      <c r="B42" s="5" t="s">
        <v>276</v>
      </c>
      <c r="C42" s="5" t="s">
        <v>277</v>
      </c>
      <c r="D42" s="5" t="s">
        <v>278</v>
      </c>
      <c r="E42" s="5" t="s">
        <v>44</v>
      </c>
      <c r="F42" s="5" t="s">
        <v>54</v>
      </c>
      <c r="G42" s="6" t="n">
        <v>63.15</v>
      </c>
      <c r="H42" s="6"/>
      <c r="I42" s="7"/>
      <c r="J42" s="8" t="s">
        <v>46</v>
      </c>
      <c r="K42" s="9" t="n">
        <v>1271.863</v>
      </c>
      <c r="L42" s="9"/>
      <c r="M42" s="10" t="n">
        <v>-52.04</v>
      </c>
      <c r="N42" s="11" t="str">
        <f aca="false">IF(AND(ISNUMBER(I42),ISNUMBER(K42),K42&gt;0),I42/K42,"")</f>
        <v/>
      </c>
      <c r="O42" s="12" t="str">
        <f aca="false">IF(AND(ISNUMBER(K42),ISNUMBER(L42),L42&gt;0),K42/L42-1,"")</f>
        <v/>
      </c>
      <c r="P42" s="12" t="n">
        <f aca="false">IF(AND(ISNUMBER(M42),ISNUMBER(K42),K42&gt;0),M42/K42,"")</f>
        <v>-0.0409163565572707</v>
      </c>
      <c r="Q42" s="11" t="str">
        <f aca="false">IF(AND(ISNUMBER(I42),ISNUMBER(M42),M42&gt;0),I42/M42,"")</f>
        <v/>
      </c>
      <c r="R42" s="12" t="str">
        <f aca="false">IF(AND(ISNUMBER(G42),ISNUMBER(H42),H42&gt;0),G42/H42-1,"")</f>
        <v/>
      </c>
      <c r="S42" s="8" t="n">
        <v>0</v>
      </c>
      <c r="T42" s="5" t="n">
        <f aca="false">IF(ISNUMBER(S42),IF(S42&gt;=1,1,0),"")</f>
        <v>0</v>
      </c>
      <c r="U42" s="5" t="n">
        <f aca="false">IF(ISNUMBER(S42),IF(S42&gt;=2,1,0),"")</f>
        <v>0</v>
      </c>
      <c r="V42" s="5" t="n">
        <v>0</v>
      </c>
      <c r="W42" s="5" t="n">
        <v>0</v>
      </c>
      <c r="X42" s="5" t="s">
        <v>47</v>
      </c>
      <c r="Y42" s="13" t="s">
        <v>279</v>
      </c>
      <c r="Z42" s="13" t="s">
        <v>280</v>
      </c>
    </row>
    <row r="43" customFormat="false" ht="15" hidden="false" customHeight="false" outlineLevel="0" collapsed="false">
      <c r="A43" s="13" t="s">
        <v>281</v>
      </c>
      <c r="B43" s="13" t="s">
        <v>282</v>
      </c>
      <c r="C43" s="13" t="s">
        <v>283</v>
      </c>
      <c r="D43" s="13" t="s">
        <v>284</v>
      </c>
      <c r="E43" s="13" t="s">
        <v>44</v>
      </c>
      <c r="F43" s="13" t="s">
        <v>54</v>
      </c>
      <c r="G43" s="14" t="n">
        <v>23.6</v>
      </c>
      <c r="H43" s="14" t="n">
        <v>20.27</v>
      </c>
      <c r="I43" s="15" t="n">
        <v>4800</v>
      </c>
      <c r="J43" s="16" t="s">
        <v>69</v>
      </c>
      <c r="K43" s="17" t="n">
        <v>556.822</v>
      </c>
      <c r="L43" s="17" t="n">
        <v>490.575</v>
      </c>
      <c r="M43" s="18" t="n">
        <v>152.086</v>
      </c>
      <c r="N43" s="19" t="n">
        <f aca="false">IF(AND(ISNUMBER(I43),ISNUMBER(K43),K43&gt;0),I43/K43,"")</f>
        <v>8.62034905230038</v>
      </c>
      <c r="O43" s="20" t="n">
        <f aca="false">IF(AND(ISNUMBER(K43),ISNUMBER(L43),L43&gt;0),K43/L43-1,"")</f>
        <v>0.135039494470774</v>
      </c>
      <c r="P43" s="20" t="n">
        <f aca="false">IF(AND(ISNUMBER(M43),ISNUMBER(K43),K43&gt;0),M43/K43,"")</f>
        <v>0.273132167910032</v>
      </c>
      <c r="Q43" s="19" t="n">
        <f aca="false">IF(AND(ISNUMBER(I43),ISNUMBER(M43),M43&gt;0),I43/M43,"")</f>
        <v>31.5610904356746</v>
      </c>
      <c r="R43" s="20" t="n">
        <f aca="false">IF(AND(ISNUMBER(G43),ISNUMBER(H43),H43&gt;0),G43/H43-1,"")</f>
        <v>0.164282190429206</v>
      </c>
      <c r="S43" s="16" t="n">
        <v>0</v>
      </c>
      <c r="T43" s="13" t="n">
        <f aca="false">IF(ISNUMBER(S43),IF(S43&gt;=1,1,0),"")</f>
        <v>0</v>
      </c>
      <c r="U43" s="13" t="n">
        <f aca="false">IF(ISNUMBER(S43),IF(S43&gt;=2,1,0),"")</f>
        <v>0</v>
      </c>
      <c r="V43" s="13" t="n">
        <v>1</v>
      </c>
      <c r="W43" s="13" t="n">
        <v>1</v>
      </c>
      <c r="X43" s="13" t="s">
        <v>61</v>
      </c>
      <c r="Y43" s="13" t="s">
        <v>285</v>
      </c>
      <c r="Z43" s="13" t="s">
        <v>286</v>
      </c>
    </row>
    <row r="44" customFormat="false" ht="15" hidden="false" customHeight="false" outlineLevel="0" collapsed="false">
      <c r="A44" s="13" t="s">
        <v>287</v>
      </c>
      <c r="B44" s="13" t="s">
        <v>288</v>
      </c>
      <c r="C44" s="13" t="s">
        <v>289</v>
      </c>
      <c r="D44" s="13" t="s">
        <v>290</v>
      </c>
      <c r="E44" s="13" t="s">
        <v>44</v>
      </c>
      <c r="F44" s="13" t="s">
        <v>54</v>
      </c>
      <c r="G44" s="14" t="n">
        <v>56.5</v>
      </c>
      <c r="H44" s="14"/>
      <c r="I44" s="15" t="n">
        <v>7693.4</v>
      </c>
      <c r="J44" s="16" t="s">
        <v>55</v>
      </c>
      <c r="K44" s="17" t="n">
        <v>1042.2</v>
      </c>
      <c r="L44" s="17" t="n">
        <v>867.37</v>
      </c>
      <c r="M44" s="18" t="n">
        <v>-44.213</v>
      </c>
      <c r="N44" s="19" t="n">
        <f aca="false">IF(AND(ISNUMBER(I44),ISNUMBER(K44),K44&gt;0),I44/K44,"")</f>
        <v>7.38188447514872</v>
      </c>
      <c r="O44" s="20" t="n">
        <f aca="false">IF(AND(ISNUMBER(K44),ISNUMBER(L44),L44&gt;0),K44/L44-1,"")</f>
        <v>0.201563346668665</v>
      </c>
      <c r="P44" s="20" t="n">
        <f aca="false">IF(AND(ISNUMBER(M44),ISNUMBER(K44),K44&gt;0),M44/K44,"")</f>
        <v>-0.0424227595471119</v>
      </c>
      <c r="Q44" s="19" t="str">
        <f aca="false">IF(AND(ISNUMBER(I44),ISNUMBER(M44),M44&gt;0),I44/M44,"")</f>
        <v/>
      </c>
      <c r="R44" s="20" t="str">
        <f aca="false">IF(AND(ISNUMBER(G44),ISNUMBER(H44),H44&gt;0),G44/H44-1,"")</f>
        <v/>
      </c>
      <c r="S44" s="16" t="n">
        <v>0</v>
      </c>
      <c r="T44" s="13" t="n">
        <f aca="false">IF(ISNUMBER(S44),IF(S44&gt;=1,1,0),"")</f>
        <v>0</v>
      </c>
      <c r="U44" s="13" t="n">
        <f aca="false">IF(ISNUMBER(S44),IF(S44&gt;=2,1,0),"")</f>
        <v>0</v>
      </c>
      <c r="V44" s="13" t="n">
        <v>1</v>
      </c>
      <c r="W44" s="13" t="n">
        <v>0</v>
      </c>
      <c r="X44" s="13" t="s">
        <v>172</v>
      </c>
      <c r="Y44" s="13" t="s">
        <v>291</v>
      </c>
      <c r="Z44" s="13" t="s">
        <v>292</v>
      </c>
    </row>
    <row r="45" customFormat="false" ht="15" hidden="false" customHeight="false" outlineLevel="0" collapsed="false">
      <c r="A45" s="5" t="s">
        <v>293</v>
      </c>
      <c r="B45" s="5" t="s">
        <v>294</v>
      </c>
      <c r="C45" s="5" t="s">
        <v>295</v>
      </c>
      <c r="D45" s="5" t="s">
        <v>296</v>
      </c>
      <c r="E45" s="5" t="s">
        <v>44</v>
      </c>
      <c r="F45" s="5" t="s">
        <v>54</v>
      </c>
      <c r="G45" s="6" t="n">
        <v>10</v>
      </c>
      <c r="H45" s="6" t="n">
        <v>8.47</v>
      </c>
      <c r="I45" s="7"/>
      <c r="J45" s="8" t="s">
        <v>46</v>
      </c>
      <c r="K45" s="9" t="n">
        <v>445.683</v>
      </c>
      <c r="L45" s="9" t="n">
        <v>415.256</v>
      </c>
      <c r="M45" s="10" t="n">
        <v>-21.151</v>
      </c>
      <c r="N45" s="11" t="str">
        <f aca="false">IF(AND(ISNUMBER(I45),ISNUMBER(K45),K45&gt;0),I45/K45,"")</f>
        <v/>
      </c>
      <c r="O45" s="12" t="n">
        <f aca="false">IF(AND(ISNUMBER(K45),ISNUMBER(L45),L45&gt;0),K45/L45-1,"")</f>
        <v>0.073272872637602</v>
      </c>
      <c r="P45" s="12" t="n">
        <f aca="false">IF(AND(ISNUMBER(M45),ISNUMBER(K45),K45&gt;0),M45/K45,"")</f>
        <v>-0.0474574978179558</v>
      </c>
      <c r="Q45" s="11" t="str">
        <f aca="false">IF(AND(ISNUMBER(I45),ISNUMBER(M45),M45&gt;0),I45/M45,"")</f>
        <v/>
      </c>
      <c r="R45" s="12" t="n">
        <f aca="false">IF(AND(ISNUMBER(G45),ISNUMBER(H45),H45&gt;0),G45/H45-1,"")</f>
        <v>0.180637544273908</v>
      </c>
      <c r="S45" s="8" t="n">
        <v>0</v>
      </c>
      <c r="T45" s="5" t="n">
        <f aca="false">IF(ISNUMBER(S45),IF(S45&gt;=1,1,0),"")</f>
        <v>0</v>
      </c>
      <c r="U45" s="5" t="n">
        <f aca="false">IF(ISNUMBER(S45),IF(S45&gt;=2,1,0),"")</f>
        <v>0</v>
      </c>
      <c r="V45" s="5" t="n">
        <v>0</v>
      </c>
      <c r="W45" s="5" t="n">
        <v>1</v>
      </c>
      <c r="X45" s="5" t="s">
        <v>47</v>
      </c>
      <c r="Y45" s="13" t="s">
        <v>297</v>
      </c>
      <c r="Z45" s="13" t="s">
        <v>298</v>
      </c>
    </row>
    <row r="46" customFormat="false" ht="15" hidden="false" customHeight="false" outlineLevel="0" collapsed="false">
      <c r="A46" s="13" t="s">
        <v>299</v>
      </c>
      <c r="B46" s="13" t="s">
        <v>300</v>
      </c>
      <c r="C46" s="13" t="s">
        <v>301</v>
      </c>
      <c r="D46" s="13" t="s">
        <v>302</v>
      </c>
      <c r="E46" s="13" t="s">
        <v>68</v>
      </c>
      <c r="F46" s="13" t="s">
        <v>54</v>
      </c>
      <c r="G46" s="14" t="n">
        <v>113</v>
      </c>
      <c r="H46" s="14"/>
      <c r="I46" s="15" t="n">
        <v>10000</v>
      </c>
      <c r="J46" s="16" t="s">
        <v>69</v>
      </c>
      <c r="K46" s="17" t="n">
        <v>644.66</v>
      </c>
      <c r="L46" s="17" t="n">
        <v>601.631</v>
      </c>
      <c r="M46" s="18" t="n">
        <v>70.283</v>
      </c>
      <c r="N46" s="19" t="n">
        <f aca="false">IF(AND(ISNUMBER(I46),ISNUMBER(K46),K46&gt;0),I46/K46,"")</f>
        <v>15.5120528650762</v>
      </c>
      <c r="O46" s="20" t="n">
        <f aca="false">IF(AND(ISNUMBER(K46),ISNUMBER(L46),L46&gt;0),K46/L46-1,"")</f>
        <v>0.0715205832146282</v>
      </c>
      <c r="P46" s="20" t="n">
        <f aca="false">IF(AND(ISNUMBER(M46),ISNUMBER(K46),K46&gt;0),M46/K46,"")</f>
        <v>0.109023361151615</v>
      </c>
      <c r="Q46" s="19" t="n">
        <f aca="false">IF(AND(ISNUMBER(I46),ISNUMBER(M46),M46&gt;0),I46/M46,"")</f>
        <v>142.281917391119</v>
      </c>
      <c r="R46" s="20" t="str">
        <f aca="false">IF(AND(ISNUMBER(G46),ISNUMBER(H46),H46&gt;0),G46/H46-1,"")</f>
        <v/>
      </c>
      <c r="S46" s="16" t="n">
        <v>1</v>
      </c>
      <c r="T46" s="13" t="n">
        <f aca="false">IF(ISNUMBER(S46),IF(S46&gt;=1,1,0),"")</f>
        <v>1</v>
      </c>
      <c r="U46" s="13" t="n">
        <f aca="false">IF(ISNUMBER(S46),IF(S46&gt;=2,1,0),"")</f>
        <v>0</v>
      </c>
      <c r="V46" s="13" t="n">
        <v>1</v>
      </c>
      <c r="W46" s="13" t="n">
        <v>0</v>
      </c>
      <c r="X46" s="13" t="s">
        <v>61</v>
      </c>
      <c r="Y46" s="13" t="s">
        <v>303</v>
      </c>
      <c r="Z46" s="13" t="s">
        <v>304</v>
      </c>
    </row>
    <row r="47" customFormat="false" ht="15" hidden="false" customHeight="false" outlineLevel="0" collapsed="false">
      <c r="A47" s="13" t="s">
        <v>305</v>
      </c>
      <c r="B47" s="13" t="s">
        <v>306</v>
      </c>
      <c r="C47" s="13" t="s">
        <v>307</v>
      </c>
      <c r="D47" s="13" t="s">
        <v>308</v>
      </c>
      <c r="E47" s="13" t="s">
        <v>44</v>
      </c>
      <c r="F47" s="13" t="s">
        <v>45</v>
      </c>
      <c r="G47" s="14" t="n">
        <v>18.5</v>
      </c>
      <c r="H47" s="14"/>
      <c r="I47" s="15" t="n">
        <v>4400</v>
      </c>
      <c r="J47" s="16" t="s">
        <v>69</v>
      </c>
      <c r="K47" s="17" t="n">
        <v>784.725</v>
      </c>
      <c r="L47" s="17" t="n">
        <v>747.67</v>
      </c>
      <c r="M47" s="18" t="n">
        <v>266.856</v>
      </c>
      <c r="N47" s="19" t="n">
        <f aca="false">IF(AND(ISNUMBER(I47),ISNUMBER(K47),K47&gt;0),I47/K47,"")</f>
        <v>5.60705979801841</v>
      </c>
      <c r="O47" s="20" t="n">
        <f aca="false">IF(AND(ISNUMBER(K47),ISNUMBER(L47),L47&gt;0),K47/L47-1,"")</f>
        <v>0.0495606350395228</v>
      </c>
      <c r="P47" s="20" t="n">
        <f aca="false">IF(AND(ISNUMBER(M47),ISNUMBER(K47),K47&gt;0),M47/K47,"")</f>
        <v>0.340063079422728</v>
      </c>
      <c r="Q47" s="19" t="n">
        <f aca="false">IF(AND(ISNUMBER(I47),ISNUMBER(M47),M47&gt;0),I47/M47,"")</f>
        <v>16.4882933117487</v>
      </c>
      <c r="R47" s="20" t="str">
        <f aca="false">IF(AND(ISNUMBER(G47),ISNUMBER(H47),H47&gt;0),G47/H47-1,"")</f>
        <v/>
      </c>
      <c r="S47" s="16" t="n">
        <v>0</v>
      </c>
      <c r="T47" s="13" t="n">
        <f aca="false">IF(ISNUMBER(S47),IF(S47&gt;=1,1,0),"")</f>
        <v>0</v>
      </c>
      <c r="U47" s="13" t="n">
        <f aca="false">IF(ISNUMBER(S47),IF(S47&gt;=2,1,0),"")</f>
        <v>0</v>
      </c>
      <c r="V47" s="13" t="n">
        <v>1</v>
      </c>
      <c r="W47" s="13" t="n">
        <v>0</v>
      </c>
      <c r="X47" s="13" t="s">
        <v>61</v>
      </c>
      <c r="Y47" s="13" t="s">
        <v>309</v>
      </c>
      <c r="Z47" s="13" t="s">
        <v>310</v>
      </c>
    </row>
    <row r="48" customFormat="false" ht="15" hidden="false" customHeight="false" outlineLevel="0" collapsed="false">
      <c r="A48" s="13" t="s">
        <v>311</v>
      </c>
      <c r="B48" s="13" t="s">
        <v>312</v>
      </c>
      <c r="C48" s="13" t="s">
        <v>158</v>
      </c>
      <c r="D48" s="13" t="s">
        <v>313</v>
      </c>
      <c r="E48" s="13" t="s">
        <v>44</v>
      </c>
      <c r="F48" s="13" t="s">
        <v>54</v>
      </c>
      <c r="G48" s="14" t="n">
        <v>9.15</v>
      </c>
      <c r="H48" s="14" t="n">
        <v>8.73</v>
      </c>
      <c r="I48" s="15" t="n">
        <v>7700</v>
      </c>
      <c r="J48" s="16" t="s">
        <v>69</v>
      </c>
      <c r="K48" s="17" t="n">
        <v>2381.7</v>
      </c>
      <c r="L48" s="17" t="n">
        <v>2314</v>
      </c>
      <c r="M48" s="18" t="n">
        <v>772.4</v>
      </c>
      <c r="N48" s="19" t="n">
        <f aca="false">IF(AND(ISNUMBER(I48),ISNUMBER(K48),K48&gt;0),I48/K48,"")</f>
        <v>3.23298484275937</v>
      </c>
      <c r="O48" s="20" t="n">
        <f aca="false">IF(AND(ISNUMBER(K48),ISNUMBER(L48),L48&gt;0),K48/L48-1,"")</f>
        <v>0.029256698357822</v>
      </c>
      <c r="P48" s="20" t="n">
        <f aca="false">IF(AND(ISNUMBER(M48),ISNUMBER(K48),K48&gt;0),M48/K48,"")</f>
        <v>0.324306167863291</v>
      </c>
      <c r="Q48" s="19" t="n">
        <f aca="false">IF(AND(ISNUMBER(I48),ISNUMBER(M48),M48&gt;0),I48/M48,"")</f>
        <v>9.96892801657173</v>
      </c>
      <c r="R48" s="20" t="n">
        <f aca="false">IF(AND(ISNUMBER(G48),ISNUMBER(H48),H48&gt;0),G48/H48-1,"")</f>
        <v>0.0481099656357389</v>
      </c>
      <c r="S48" s="16" t="n">
        <v>0</v>
      </c>
      <c r="T48" s="13" t="n">
        <f aca="false">IF(ISNUMBER(S48),IF(S48&gt;=1,1,0),"")</f>
        <v>0</v>
      </c>
      <c r="U48" s="13" t="n">
        <f aca="false">IF(ISNUMBER(S48),IF(S48&gt;=2,1,0),"")</f>
        <v>0</v>
      </c>
      <c r="V48" s="13" t="n">
        <v>1</v>
      </c>
      <c r="W48" s="13" t="n">
        <v>1</v>
      </c>
      <c r="X48" s="13" t="s">
        <v>61</v>
      </c>
      <c r="Y48" s="13" t="s">
        <v>314</v>
      </c>
      <c r="Z48" s="13" t="s">
        <v>315</v>
      </c>
    </row>
    <row r="49" customFormat="false" ht="15" hidden="false" customHeight="false" outlineLevel="0" collapsed="false">
      <c r="A49" s="13" t="s">
        <v>316</v>
      </c>
      <c r="B49" s="13" t="s">
        <v>317</v>
      </c>
      <c r="C49" s="13" t="s">
        <v>318</v>
      </c>
      <c r="D49" s="13" t="s">
        <v>319</v>
      </c>
      <c r="E49" s="13" t="s">
        <v>68</v>
      </c>
      <c r="F49" s="13" t="s">
        <v>45</v>
      </c>
      <c r="G49" s="14" t="n">
        <v>25</v>
      </c>
      <c r="H49" s="14"/>
      <c r="I49" s="15" t="n">
        <v>8553.288</v>
      </c>
      <c r="J49" s="16" t="s">
        <v>55</v>
      </c>
      <c r="K49" s="17" t="n">
        <v>1655.308</v>
      </c>
      <c r="L49" s="17" t="n">
        <v>1618.336</v>
      </c>
      <c r="M49" s="18" t="n">
        <v>290.591</v>
      </c>
      <c r="N49" s="19" t="n">
        <f aca="false">IF(AND(ISNUMBER(I49),ISNUMBER(K49),K49&gt;0),I49/K49,"")</f>
        <v>5.16718822116488</v>
      </c>
      <c r="O49" s="20" t="n">
        <f aca="false">IF(AND(ISNUMBER(K49),ISNUMBER(L49),L49&gt;0),K49/L49-1,"")</f>
        <v>0.0228456884108121</v>
      </c>
      <c r="P49" s="20" t="n">
        <f aca="false">IF(AND(ISNUMBER(M49),ISNUMBER(K49),K49&gt;0),M49/K49,"")</f>
        <v>0.175551015279332</v>
      </c>
      <c r="Q49" s="19" t="n">
        <f aca="false">IF(AND(ISNUMBER(I49),ISNUMBER(M49),M49&gt;0),I49/M49,"")</f>
        <v>29.4341118616888</v>
      </c>
      <c r="R49" s="20" t="str">
        <f aca="false">IF(AND(ISNUMBER(G49),ISNUMBER(H49),H49&gt;0),G49/H49-1,"")</f>
        <v/>
      </c>
      <c r="S49" s="16" t="n">
        <v>1</v>
      </c>
      <c r="T49" s="13" t="n">
        <f aca="false">IF(ISNUMBER(S49),IF(S49&gt;=1,1,0),"")</f>
        <v>1</v>
      </c>
      <c r="U49" s="13" t="n">
        <f aca="false">IF(ISNUMBER(S49),IF(S49&gt;=2,1,0),"")</f>
        <v>0</v>
      </c>
      <c r="V49" s="13" t="n">
        <v>1</v>
      </c>
      <c r="W49" s="13" t="n">
        <v>0</v>
      </c>
      <c r="X49" s="13" t="s">
        <v>47</v>
      </c>
      <c r="Y49" s="13" t="s">
        <v>320</v>
      </c>
      <c r="Z49" s="13" t="s">
        <v>321</v>
      </c>
    </row>
    <row r="50" customFormat="false" ht="15" hidden="false" customHeight="false" outlineLevel="0" collapsed="false">
      <c r="A50" s="5" t="s">
        <v>322</v>
      </c>
      <c r="B50" s="5" t="s">
        <v>323</v>
      </c>
      <c r="C50" s="5" t="s">
        <v>324</v>
      </c>
      <c r="D50" s="5" t="s">
        <v>325</v>
      </c>
      <c r="E50" s="5" t="s">
        <v>44</v>
      </c>
      <c r="F50" s="5" t="s">
        <v>45</v>
      </c>
      <c r="G50" s="6" t="n">
        <v>24.5</v>
      </c>
      <c r="H50" s="6"/>
      <c r="I50" s="7"/>
      <c r="J50" s="8" t="s">
        <v>46</v>
      </c>
      <c r="K50" s="9" t="n">
        <v>214.662</v>
      </c>
      <c r="L50" s="9"/>
      <c r="M50" s="10" t="n">
        <v>-72.227</v>
      </c>
      <c r="N50" s="11" t="str">
        <f aca="false">IF(AND(ISNUMBER(I50),ISNUMBER(K50),K50&gt;0),I50/K50,"")</f>
        <v/>
      </c>
      <c r="O50" s="12" t="str">
        <f aca="false">IF(AND(ISNUMBER(K50),ISNUMBER(L50),L50&gt;0),K50/L50-1,"")</f>
        <v/>
      </c>
      <c r="P50" s="12" t="n">
        <f aca="false">IF(AND(ISNUMBER(M50),ISNUMBER(K50),K50&gt;0),M50/K50,"")</f>
        <v>-0.336468494656716</v>
      </c>
      <c r="Q50" s="11" t="str">
        <f aca="false">IF(AND(ISNUMBER(I50),ISNUMBER(M50),M50&gt;0),I50/M50,"")</f>
        <v/>
      </c>
      <c r="R50" s="12" t="str">
        <f aca="false">IF(AND(ISNUMBER(G50),ISNUMBER(H50),H50&gt;0),G50/H50-1,"")</f>
        <v/>
      </c>
      <c r="S50" s="8" t="n">
        <v>1</v>
      </c>
      <c r="T50" s="5" t="n">
        <f aca="false">IF(ISNUMBER(S50),IF(S50&gt;=1,1,0),"")</f>
        <v>1</v>
      </c>
      <c r="U50" s="5" t="n">
        <f aca="false">IF(ISNUMBER(S50),IF(S50&gt;=2,1,0),"")</f>
        <v>0</v>
      </c>
      <c r="V50" s="5" t="n">
        <v>0</v>
      </c>
      <c r="W50" s="5" t="n">
        <v>0</v>
      </c>
      <c r="X50" s="5" t="s">
        <v>47</v>
      </c>
      <c r="Y50" s="13" t="s">
        <v>326</v>
      </c>
      <c r="Z50" s="13" t="s">
        <v>327</v>
      </c>
    </row>
    <row r="51" customFormat="false" ht="15" hidden="false" customHeight="false" outlineLevel="0" collapsed="false">
      <c r="A51" s="13" t="s">
        <v>328</v>
      </c>
      <c r="B51" s="13" t="s">
        <v>329</v>
      </c>
      <c r="C51" s="13" t="s">
        <v>74</v>
      </c>
      <c r="D51" s="13" t="s">
        <v>330</v>
      </c>
      <c r="E51" s="13" t="s">
        <v>44</v>
      </c>
      <c r="F51" s="13" t="s">
        <v>54</v>
      </c>
      <c r="G51" s="14" t="n">
        <v>10.25</v>
      </c>
      <c r="H51" s="14" t="n">
        <v>6.2</v>
      </c>
      <c r="I51" s="15" t="n">
        <v>1641.528</v>
      </c>
      <c r="J51" s="16" t="s">
        <v>55</v>
      </c>
      <c r="K51" s="17" t="n">
        <v>299.107</v>
      </c>
      <c r="L51" s="17" t="n">
        <v>242.56</v>
      </c>
      <c r="M51" s="18" t="n">
        <v>1.179</v>
      </c>
      <c r="N51" s="19" t="n">
        <f aca="false">IF(AND(ISNUMBER(I51),ISNUMBER(K51),K51&gt;0),I51/K51,"")</f>
        <v>5.48809623312059</v>
      </c>
      <c r="O51" s="20" t="n">
        <f aca="false">IF(AND(ISNUMBER(K51),ISNUMBER(L51),L51&gt;0),K51/L51-1,"")</f>
        <v>0.233125824538259</v>
      </c>
      <c r="P51" s="20" t="n">
        <f aca="false">IF(AND(ISNUMBER(M51),ISNUMBER(K51),K51&gt;0),M51/K51,"")</f>
        <v>0.00394173322590244</v>
      </c>
      <c r="Q51" s="19" t="n">
        <f aca="false">IF(AND(ISNUMBER(I51),ISNUMBER(M51),M51&gt;0),I51/M51,"")</f>
        <v>1392.30534351145</v>
      </c>
      <c r="R51" s="20" t="n">
        <f aca="false">IF(AND(ISNUMBER(G51),ISNUMBER(H51),H51&gt;0),G51/H51-1,"")</f>
        <v>0.653225806451613</v>
      </c>
      <c r="S51" s="16" t="n">
        <v>0</v>
      </c>
      <c r="T51" s="13" t="n">
        <f aca="false">IF(ISNUMBER(S51),IF(S51&gt;=1,1,0),"")</f>
        <v>0</v>
      </c>
      <c r="U51" s="13" t="n">
        <f aca="false">IF(ISNUMBER(S51),IF(S51&gt;=2,1,0),"")</f>
        <v>0</v>
      </c>
      <c r="V51" s="13" t="n">
        <v>1</v>
      </c>
      <c r="W51" s="13" t="n">
        <v>1</v>
      </c>
      <c r="X51" s="13" t="s">
        <v>47</v>
      </c>
      <c r="Y51" s="13" t="s">
        <v>331</v>
      </c>
      <c r="Z51" s="13" t="s">
        <v>332</v>
      </c>
    </row>
    <row r="52" customFormat="false" ht="15" hidden="false" customHeight="false" outlineLevel="0" collapsed="false">
      <c r="A52" s="13" t="s">
        <v>333</v>
      </c>
      <c r="B52" s="13" t="s">
        <v>334</v>
      </c>
      <c r="C52" s="13" t="s">
        <v>335</v>
      </c>
      <c r="D52" s="13" t="s">
        <v>336</v>
      </c>
      <c r="E52" s="13" t="s">
        <v>44</v>
      </c>
      <c r="F52" s="13" t="s">
        <v>54</v>
      </c>
      <c r="G52" s="14" t="n">
        <v>20</v>
      </c>
      <c r="H52" s="14" t="n">
        <v>15.88</v>
      </c>
      <c r="I52" s="15" t="n">
        <v>2000</v>
      </c>
      <c r="J52" s="16" t="s">
        <v>69</v>
      </c>
      <c r="K52" s="17" t="n">
        <v>325.891</v>
      </c>
      <c r="L52" s="17" t="n">
        <v>307.559</v>
      </c>
      <c r="M52" s="18" t="n">
        <v>69.145</v>
      </c>
      <c r="N52" s="19" t="n">
        <f aca="false">IF(AND(ISNUMBER(I52),ISNUMBER(K52),K52&gt;0),I52/K52,"")</f>
        <v>6.13702127398425</v>
      </c>
      <c r="O52" s="20" t="n">
        <f aca="false">IF(AND(ISNUMBER(K52),ISNUMBER(L52),L52&gt;0),K52/L52-1,"")</f>
        <v>0.059604823789907</v>
      </c>
      <c r="P52" s="20" t="n">
        <f aca="false">IF(AND(ISNUMBER(M52),ISNUMBER(K52),K52&gt;0),M52/K52,"")</f>
        <v>0.21217216799482</v>
      </c>
      <c r="Q52" s="19" t="n">
        <f aca="false">IF(AND(ISNUMBER(I52),ISNUMBER(M52),M52&gt;0),I52/M52,"")</f>
        <v>28.9247234073324</v>
      </c>
      <c r="R52" s="20" t="n">
        <f aca="false">IF(AND(ISNUMBER(G52),ISNUMBER(H52),H52&gt;0),G52/H52-1,"")</f>
        <v>0.259445843828715</v>
      </c>
      <c r="S52" s="16" t="n">
        <v>0</v>
      </c>
      <c r="T52" s="13" t="n">
        <f aca="false">IF(ISNUMBER(S52),IF(S52&gt;=1,1,0),"")</f>
        <v>0</v>
      </c>
      <c r="U52" s="13" t="n">
        <f aca="false">IF(ISNUMBER(S52),IF(S52&gt;=2,1,0),"")</f>
        <v>0</v>
      </c>
      <c r="V52" s="13" t="n">
        <v>1</v>
      </c>
      <c r="W52" s="13" t="n">
        <v>1</v>
      </c>
      <c r="X52" s="13" t="s">
        <v>61</v>
      </c>
      <c r="Y52" s="13" t="s">
        <v>337</v>
      </c>
      <c r="Z52" s="13" t="s">
        <v>338</v>
      </c>
    </row>
    <row r="53" customFormat="false" ht="15" hidden="false" customHeight="false" outlineLevel="0" collapsed="false">
      <c r="A53" s="13" t="s">
        <v>339</v>
      </c>
      <c r="B53" s="13" t="s">
        <v>340</v>
      </c>
      <c r="C53" s="13" t="s">
        <v>74</v>
      </c>
      <c r="D53" s="13" t="s">
        <v>341</v>
      </c>
      <c r="E53" s="13" t="s">
        <v>44</v>
      </c>
      <c r="F53" s="13" t="s">
        <v>54</v>
      </c>
      <c r="G53" s="14" t="n">
        <v>70</v>
      </c>
      <c r="H53" s="14"/>
      <c r="I53" s="15" t="n">
        <v>12300</v>
      </c>
      <c r="J53" s="16" t="s">
        <v>69</v>
      </c>
      <c r="K53" s="17" t="n">
        <v>1851.7</v>
      </c>
      <c r="L53" s="17" t="n">
        <v>1632</v>
      </c>
      <c r="M53" s="18" t="n">
        <v>340.1</v>
      </c>
      <c r="N53" s="19" t="n">
        <f aca="false">IF(AND(ISNUMBER(I53),ISNUMBER(K53),K53&gt;0),I53/K53,"")</f>
        <v>6.64254468866447</v>
      </c>
      <c r="O53" s="20" t="n">
        <f aca="false">IF(AND(ISNUMBER(K53),ISNUMBER(L53),L53&gt;0),K53/L53-1,"")</f>
        <v>0.134620098039216</v>
      </c>
      <c r="P53" s="20" t="n">
        <f aca="false">IF(AND(ISNUMBER(M53),ISNUMBER(K53),K53&gt;0),M53/K53,"")</f>
        <v>0.183669060862991</v>
      </c>
      <c r="Q53" s="19" t="n">
        <f aca="false">IF(AND(ISNUMBER(I53),ISNUMBER(M53),M53&gt;0),I53/M53,"")</f>
        <v>36.1658335783593</v>
      </c>
      <c r="R53" s="20" t="str">
        <f aca="false">IF(AND(ISNUMBER(G53),ISNUMBER(H53),H53&gt;0),G53/H53-1,"")</f>
        <v/>
      </c>
      <c r="S53" s="16" t="n">
        <v>0</v>
      </c>
      <c r="T53" s="13" t="n">
        <f aca="false">IF(ISNUMBER(S53),IF(S53&gt;=1,1,0),"")</f>
        <v>0</v>
      </c>
      <c r="U53" s="13" t="n">
        <f aca="false">IF(ISNUMBER(S53),IF(S53&gt;=2,1,0),"")</f>
        <v>0</v>
      </c>
      <c r="V53" s="13" t="n">
        <v>1</v>
      </c>
      <c r="W53" s="13" t="n">
        <v>0</v>
      </c>
      <c r="X53" s="13" t="s">
        <v>61</v>
      </c>
      <c r="Y53" s="13" t="s">
        <v>342</v>
      </c>
      <c r="Z53" s="13" t="s">
        <v>343</v>
      </c>
    </row>
    <row r="54" customFormat="false" ht="15" hidden="false" customHeight="false" outlineLevel="0" collapsed="false">
      <c r="A54" s="13" t="s">
        <v>344</v>
      </c>
      <c r="B54" s="13" t="s">
        <v>345</v>
      </c>
      <c r="C54" s="13" t="s">
        <v>74</v>
      </c>
      <c r="D54" s="13" t="s">
        <v>346</v>
      </c>
      <c r="E54" s="13" t="s">
        <v>44</v>
      </c>
      <c r="F54" s="13" t="s">
        <v>54</v>
      </c>
      <c r="G54" s="14" t="n">
        <v>20.5</v>
      </c>
      <c r="H54" s="14"/>
      <c r="I54" s="15" t="n">
        <v>2000</v>
      </c>
      <c r="J54" s="16" t="s">
        <v>69</v>
      </c>
      <c r="K54" s="17" t="n">
        <v>896.006</v>
      </c>
      <c r="L54" s="17" t="n">
        <v>915.098</v>
      </c>
      <c r="M54" s="18" t="n">
        <v>135.748</v>
      </c>
      <c r="N54" s="19" t="n">
        <f aca="false">IF(AND(ISNUMBER(I54),ISNUMBER(K54),K54&gt;0),I54/K54,"")</f>
        <v>2.23212790985775</v>
      </c>
      <c r="O54" s="20" t="n">
        <f aca="false">IF(AND(ISNUMBER(K54),ISNUMBER(L54),L54&gt;0),K54/L54-1,"")</f>
        <v>-0.0208633392270554</v>
      </c>
      <c r="P54" s="20" t="n">
        <f aca="false">IF(AND(ISNUMBER(M54),ISNUMBER(K54),K54&gt;0),M54/K54,"")</f>
        <v>0.151503449753685</v>
      </c>
      <c r="Q54" s="19" t="n">
        <f aca="false">IF(AND(ISNUMBER(I54),ISNUMBER(M54),M54&gt;0),I54/M54,"")</f>
        <v>14.7331820726641</v>
      </c>
      <c r="R54" s="20" t="str">
        <f aca="false">IF(AND(ISNUMBER(G54),ISNUMBER(H54),H54&gt;0),G54/H54-1,"")</f>
        <v/>
      </c>
      <c r="S54" s="16" t="n">
        <v>2</v>
      </c>
      <c r="T54" s="13" t="n">
        <f aca="false">IF(ISNUMBER(S54),IF(S54&gt;=1,1,0),"")</f>
        <v>1</v>
      </c>
      <c r="U54" s="13" t="n">
        <f aca="false">IF(ISNUMBER(S54),IF(S54&gt;=2,1,0),"")</f>
        <v>1</v>
      </c>
      <c r="V54" s="13" t="n">
        <v>1</v>
      </c>
      <c r="W54" s="13" t="n">
        <v>0</v>
      </c>
      <c r="X54" s="13" t="s">
        <v>61</v>
      </c>
      <c r="Y54" s="13" t="s">
        <v>347</v>
      </c>
      <c r="Z54" s="13" t="s">
        <v>348</v>
      </c>
    </row>
    <row r="55" customFormat="false" ht="15" hidden="false" customHeight="false" outlineLevel="0" collapsed="false">
      <c r="A55" s="5" t="s">
        <v>349</v>
      </c>
      <c r="B55" s="5" t="s">
        <v>350</v>
      </c>
      <c r="C55" s="5" t="s">
        <v>74</v>
      </c>
      <c r="D55" s="5" t="s">
        <v>351</v>
      </c>
      <c r="E55" s="5" t="s">
        <v>44</v>
      </c>
      <c r="F55" s="5" t="s">
        <v>54</v>
      </c>
      <c r="G55" s="6" t="n">
        <v>23.25</v>
      </c>
      <c r="H55" s="6" t="n">
        <v>16.41</v>
      </c>
      <c r="I55" s="7"/>
      <c r="J55" s="8" t="s">
        <v>46</v>
      </c>
      <c r="K55" s="9" t="n">
        <v>342.708</v>
      </c>
      <c r="L55" s="9" t="n">
        <v>317.435</v>
      </c>
      <c r="M55" s="10" t="n">
        <v>-5.323</v>
      </c>
      <c r="N55" s="11" t="str">
        <f aca="false">IF(AND(ISNUMBER(I55),ISNUMBER(K55),K55&gt;0),I55/K55,"")</f>
        <v/>
      </c>
      <c r="O55" s="12" t="n">
        <f aca="false">IF(AND(ISNUMBER(K55),ISNUMBER(L55),L55&gt;0),K55/L55-1,"")</f>
        <v>0.0796162993998772</v>
      </c>
      <c r="P55" s="12" t="n">
        <f aca="false">IF(AND(ISNUMBER(M55),ISNUMBER(K55),K55&gt;0),M55/K55,"")</f>
        <v>-0.0155321731619921</v>
      </c>
      <c r="Q55" s="11" t="str">
        <f aca="false">IF(AND(ISNUMBER(I55),ISNUMBER(M55),M55&gt;0),I55/M55,"")</f>
        <v/>
      </c>
      <c r="R55" s="12" t="n">
        <f aca="false">IF(AND(ISNUMBER(G55),ISNUMBER(H55),H55&gt;0),G55/H55-1,"")</f>
        <v>0.416819012797075</v>
      </c>
      <c r="S55" s="8" t="n">
        <v>2</v>
      </c>
      <c r="T55" s="5" t="n">
        <f aca="false">IF(ISNUMBER(S55),IF(S55&gt;=1,1,0),"")</f>
        <v>1</v>
      </c>
      <c r="U55" s="5" t="n">
        <f aca="false">IF(ISNUMBER(S55),IF(S55&gt;=2,1,0),"")</f>
        <v>1</v>
      </c>
      <c r="V55" s="5" t="n">
        <v>0</v>
      </c>
      <c r="W55" s="5" t="n">
        <v>1</v>
      </c>
      <c r="X55" s="5" t="s">
        <v>172</v>
      </c>
      <c r="Y55" s="13" t="s">
        <v>352</v>
      </c>
      <c r="Z55" s="13" t="s">
        <v>353</v>
      </c>
    </row>
    <row r="56" customFormat="false" ht="15" hidden="false" customHeight="false" outlineLevel="0" collapsed="false">
      <c r="A56" s="5" t="s">
        <v>354</v>
      </c>
      <c r="B56" s="5" t="s">
        <v>355</v>
      </c>
      <c r="C56" s="5" t="s">
        <v>213</v>
      </c>
      <c r="D56" s="5" t="s">
        <v>356</v>
      </c>
      <c r="E56" s="5" t="s">
        <v>44</v>
      </c>
      <c r="F56" s="5" t="s">
        <v>45</v>
      </c>
      <c r="G56" s="6" t="n">
        <v>13.05</v>
      </c>
      <c r="H56" s="6"/>
      <c r="I56" s="7"/>
      <c r="J56" s="8" t="s">
        <v>46</v>
      </c>
      <c r="K56" s="9" t="n">
        <v>666.382</v>
      </c>
      <c r="L56" s="9"/>
      <c r="M56" s="10" t="n">
        <v>2.244</v>
      </c>
      <c r="N56" s="11" t="str">
        <f aca="false">IF(AND(ISNUMBER(I56),ISNUMBER(K56),K56&gt;0),I56/K56,"")</f>
        <v/>
      </c>
      <c r="O56" s="12" t="str">
        <f aca="false">IF(AND(ISNUMBER(K56),ISNUMBER(L56),L56&gt;0),K56/L56-1,"")</f>
        <v/>
      </c>
      <c r="P56" s="12" t="n">
        <f aca="false">IF(AND(ISNUMBER(M56),ISNUMBER(K56),K56&gt;0),M56/K56,"")</f>
        <v>0.00336743789598158</v>
      </c>
      <c r="Q56" s="11" t="str">
        <f aca="false">IF(AND(ISNUMBER(I56),ISNUMBER(M56),M56&gt;0),I56/M56,"")</f>
        <v/>
      </c>
      <c r="R56" s="12" t="str">
        <f aca="false">IF(AND(ISNUMBER(G56),ISNUMBER(H56),H56&gt;0),G56/H56-1,"")</f>
        <v/>
      </c>
      <c r="S56" s="8" t="n">
        <v>0</v>
      </c>
      <c r="T56" s="5" t="n">
        <f aca="false">IF(ISNUMBER(S56),IF(S56&gt;=1,1,0),"")</f>
        <v>0</v>
      </c>
      <c r="U56" s="5" t="n">
        <f aca="false">IF(ISNUMBER(S56),IF(S56&gt;=2,1,0),"")</f>
        <v>0</v>
      </c>
      <c r="V56" s="5" t="n">
        <v>0</v>
      </c>
      <c r="W56" s="5" t="n">
        <v>0</v>
      </c>
      <c r="X56" s="5" t="s">
        <v>47</v>
      </c>
      <c r="Y56" s="13" t="s">
        <v>357</v>
      </c>
      <c r="Z56" s="13" t="s">
        <v>358</v>
      </c>
    </row>
  </sheetData>
  <autoFilter ref="A1:Z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s>
  <sheetData>
    <row r="1" customFormat="false" ht="16.15" hidden="false" customHeight="false" outlineLevel="0" collapsed="false">
      <c r="A1" s="21" t="s">
        <v>359</v>
      </c>
      <c r="B1" s="22"/>
    </row>
    <row r="2" customFormat="false" ht="15" hidden="false" customHeight="false" outlineLevel="0" collapsed="false">
      <c r="A2" s="22"/>
      <c r="B2" s="22"/>
    </row>
    <row r="3" customFormat="false" ht="15" hidden="false" customHeight="false" outlineLevel="0" collapsed="false">
      <c r="A3" s="23" t="s">
        <v>360</v>
      </c>
      <c r="B3" s="24" t="n">
        <f aca="false">COUNTA(Deal_Dataset!$A$2:$A$56)</f>
        <v>55</v>
      </c>
    </row>
    <row r="4" customFormat="false" ht="15" hidden="false" customHeight="false" outlineLevel="0" collapsed="false">
      <c r="A4" s="23" t="s">
        <v>361</v>
      </c>
      <c r="B4" s="24" t="n">
        <f aca="false">SUM(Deal_Dataset!$V$2:$V$56)</f>
        <v>35</v>
      </c>
    </row>
    <row r="5" customFormat="false" ht="15" hidden="false" customHeight="false" outlineLevel="0" collapsed="false">
      <c r="A5" s="23" t="s">
        <v>362</v>
      </c>
      <c r="B5" s="24" t="n">
        <f aca="false">SUM(Deal_Dataset!$W$2:$W$56)</f>
        <v>20</v>
      </c>
    </row>
    <row r="6" customFormat="false" ht="15" hidden="false" customHeight="false" outlineLevel="0" collapsed="false">
      <c r="A6" s="23" t="s">
        <v>363</v>
      </c>
      <c r="B6" s="24" t="n">
        <f aca="false">COUNTIFS(Deal_Dataset!$V$2:$V$56,1,Deal_Dataset!$T$2:$T$56,1)</f>
        <v>11</v>
      </c>
    </row>
    <row r="7" customFormat="false" ht="15" hidden="false" customHeight="false" outlineLevel="0" collapsed="false">
      <c r="A7" s="23" t="s">
        <v>364</v>
      </c>
      <c r="B7" s="24" t="n">
        <f aca="false">COUNTIFS(Deal_Dataset!$V$2:$V$56,1,Deal_Dataset!$U$2:$U$56,1)</f>
        <v>2</v>
      </c>
    </row>
    <row r="8" customFormat="false" ht="15" hidden="false" customHeight="false" outlineLevel="0" collapsed="false">
      <c r="A8" s="23"/>
      <c r="B8" s="22"/>
    </row>
    <row r="9" customFormat="false" ht="15" hidden="false" customHeight="false" outlineLevel="0" collapsed="false">
      <c r="A9" s="23" t="s">
        <v>365</v>
      </c>
      <c r="B9" s="25" t="n">
        <f aca="false">AVERAGEIFS(Deal_Dataset!$N$2:$N$56,Deal_Dataset!$V$2:$V$56,1,Deal_Dataset!$T$2:$T$56,1)</f>
        <v>8.21586588898733</v>
      </c>
    </row>
    <row r="10" customFormat="false" ht="15" hidden="false" customHeight="false" outlineLevel="0" collapsed="false">
      <c r="A10" s="23" t="s">
        <v>366</v>
      </c>
      <c r="B10" s="25" t="n">
        <f aca="false">AVERAGEIFS(Deal_Dataset!$N$2:$N$56,Deal_Dataset!$V$2:$V$56,1,Deal_Dataset!$T$2:$T$56,0)</f>
        <v>9.93856561173703</v>
      </c>
    </row>
    <row r="11" customFormat="false" ht="15" hidden="false" customHeight="false" outlineLevel="0" collapsed="false">
      <c r="A11" s="23" t="s">
        <v>367</v>
      </c>
      <c r="B11" s="25" t="n">
        <f aca="false">AVERAGEIFS(Deal_Dataset!$N$2:$N$56,Deal_Dataset!$V$2:$V$56,1)</f>
        <v>9.39714569887284</v>
      </c>
    </row>
    <row r="12" customFormat="false" ht="15" hidden="false" customHeight="false" outlineLevel="0" collapsed="false">
      <c r="A12" s="23" t="s">
        <v>368</v>
      </c>
      <c r="B12" s="26" t="n">
        <f aca="false">AVERAGEIFS(Deal_Dataset!$O$2:$O$56,Deal_Dataset!$V$2:$V$56,1,Deal_Dataset!$T$2:$T$56,1)</f>
        <v>0.144216543352394</v>
      </c>
    </row>
    <row r="13" customFormat="false" ht="15" hidden="false" customHeight="false" outlineLevel="0" collapsed="false">
      <c r="A13" s="23" t="s">
        <v>369</v>
      </c>
      <c r="B13" s="26" t="n">
        <f aca="false">AVERAGEIFS(Deal_Dataset!$O$2:$O$56,Deal_Dataset!$V$2:$V$56,1,Deal_Dataset!$T$2:$T$56,0)</f>
        <v>0.234679492289007</v>
      </c>
    </row>
    <row r="14" customFormat="false" ht="15" hidden="false" customHeight="false" outlineLevel="0" collapsed="false">
      <c r="A14" s="23" t="s">
        <v>370</v>
      </c>
      <c r="B14" s="26" t="n">
        <f aca="false">AVERAGEIFS(Deal_Dataset!$R$2:$R$56,Deal_Dataset!$W$2:$W$56,1,Deal_Dataset!$T$2:$T$56,1)</f>
        <v>0.338157765475878</v>
      </c>
    </row>
    <row r="15" customFormat="false" ht="15" hidden="false" customHeight="false" outlineLevel="0" collapsed="false">
      <c r="A15" s="23" t="s">
        <v>371</v>
      </c>
      <c r="B15" s="26" t="n">
        <f aca="false">AVERAGEIFS(Deal_Dataset!$R$2:$R$56,Deal_Dataset!$W$2:$W$56,1,Deal_Dataset!$T$2:$T$56,0)</f>
        <v>0.326224723201156</v>
      </c>
    </row>
    <row r="16" customFormat="false" ht="15" hidden="false" customHeight="false" outlineLevel="0" collapsed="false">
      <c r="A16" s="23"/>
      <c r="B16" s="22"/>
    </row>
    <row r="17" customFormat="false" ht="15" hidden="false" customHeight="false" outlineLevel="0" collapsed="false">
      <c r="A17" s="27" t="s">
        <v>372</v>
      </c>
      <c r="B17" s="22"/>
    </row>
    <row r="18" customFormat="false" ht="15" hidden="false" customHeight="false" outlineLevel="0" collapsed="false">
      <c r="A18" s="23" t="s">
        <v>373</v>
      </c>
      <c r="B18" s="28" t="n">
        <v>7.50714554260566</v>
      </c>
    </row>
    <row r="19" customFormat="false" ht="15" hidden="false" customHeight="false" outlineLevel="0" collapsed="false">
      <c r="A19" s="23" t="s">
        <v>374</v>
      </c>
      <c r="B19" s="28" t="n">
        <v>7.99739397080768</v>
      </c>
    </row>
    <row r="20" customFormat="false" ht="15" hidden="false" customHeight="false" outlineLevel="0" collapsed="false">
      <c r="A20" s="23" t="s">
        <v>375</v>
      </c>
      <c r="B20" s="29" t="n">
        <v>0.351684360199707</v>
      </c>
    </row>
    <row r="21" customFormat="false" ht="15" hidden="false" customHeight="false" outlineLevel="0" collapsed="false">
      <c r="A21" s="23" t="s">
        <v>376</v>
      </c>
      <c r="B21" s="29" t="n">
        <v>0.277417761634267</v>
      </c>
    </row>
    <row r="22" customFormat="false" ht="15" hidden="false" customHeight="false" outlineLevel="0" collapsed="false">
      <c r="A22" s="22"/>
      <c r="B22" s="22"/>
    </row>
    <row r="23" customFormat="false" ht="15" hidden="false" customHeight="false" outlineLevel="0" collapsed="false">
      <c r="A23" s="30" t="s">
        <v>377</v>
      </c>
      <c r="B23"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6" min="3" style="0" width="8"/>
    <col collapsed="false" customWidth="true" hidden="false" outlineLevel="0" max="7" min="7" style="0" width="9"/>
    <col collapsed="false" customWidth="true" hidden="false" outlineLevel="0" max="9" min="8" style="0" width="60"/>
    <col collapsed="false" customWidth="true" hidden="false" outlineLevel="0" max="10" min="10" style="0" width="50"/>
  </cols>
  <sheetData>
    <row r="1" customFormat="false" ht="42" hidden="false" customHeight="true" outlineLevel="0" collapsed="false">
      <c r="A1" s="4" t="s">
        <v>378</v>
      </c>
      <c r="B1" s="4" t="s">
        <v>17</v>
      </c>
      <c r="C1" s="4" t="s">
        <v>379</v>
      </c>
      <c r="D1" s="4" t="s">
        <v>380</v>
      </c>
      <c r="E1" s="4" t="s">
        <v>381</v>
      </c>
      <c r="F1" s="4" t="s">
        <v>382</v>
      </c>
      <c r="G1" s="4" t="s">
        <v>383</v>
      </c>
      <c r="H1" s="4" t="s">
        <v>384</v>
      </c>
      <c r="I1" s="4" t="s">
        <v>385</v>
      </c>
      <c r="J1" s="4" t="s">
        <v>386</v>
      </c>
    </row>
    <row r="2" customFormat="false" ht="46.25" hidden="false" customHeight="false" outlineLevel="0" collapsed="false">
      <c r="A2" s="31" t="s">
        <v>300</v>
      </c>
      <c r="B2" s="31" t="s">
        <v>302</v>
      </c>
      <c r="C2" s="32" t="n">
        <v>1</v>
      </c>
      <c r="D2" s="32" t="n">
        <v>1</v>
      </c>
      <c r="E2" s="31" t="str">
        <f aca="false">IF(C2=D2,"Yes","No")</f>
        <v>Yes</v>
      </c>
      <c r="F2" s="32" t="n">
        <v>1</v>
      </c>
      <c r="G2" s="31"/>
      <c r="H2" s="31" t="s">
        <v>387</v>
      </c>
      <c r="I2" s="31" t="s">
        <v>388</v>
      </c>
      <c r="J2" s="31" t="s">
        <v>389</v>
      </c>
    </row>
    <row r="3" customFormat="false" ht="57.45" hidden="false" customHeight="false" outlineLevel="0" collapsed="false">
      <c r="A3" s="31" t="s">
        <v>241</v>
      </c>
      <c r="B3" s="31" t="s">
        <v>243</v>
      </c>
      <c r="C3" s="32" t="n">
        <v>1</v>
      </c>
      <c r="D3" s="32" t="n">
        <v>1</v>
      </c>
      <c r="E3" s="31" t="str">
        <f aca="false">IF(C3=D3,"Yes","No")</f>
        <v>Yes</v>
      </c>
      <c r="F3" s="32" t="n">
        <v>1</v>
      </c>
      <c r="G3" s="31"/>
      <c r="H3" s="31" t="s">
        <v>390</v>
      </c>
      <c r="I3" s="31" t="s">
        <v>391</v>
      </c>
      <c r="J3" s="31" t="s">
        <v>389</v>
      </c>
    </row>
    <row r="4" customFormat="false" ht="57.45" hidden="false" customHeight="false" outlineLevel="0" collapsed="false">
      <c r="A4" s="31" t="s">
        <v>323</v>
      </c>
      <c r="B4" s="31" t="s">
        <v>325</v>
      </c>
      <c r="C4" s="32" t="n">
        <v>1</v>
      </c>
      <c r="D4" s="32" t="n">
        <v>1</v>
      </c>
      <c r="E4" s="31" t="str">
        <f aca="false">IF(C4=D4,"Yes","No")</f>
        <v>Yes</v>
      </c>
      <c r="F4" s="32" t="n">
        <v>1</v>
      </c>
      <c r="G4" s="31"/>
      <c r="H4" s="31" t="s">
        <v>392</v>
      </c>
      <c r="I4" s="31" t="s">
        <v>393</v>
      </c>
      <c r="J4" s="31" t="s">
        <v>389</v>
      </c>
    </row>
    <row r="5" customFormat="false" ht="46.25" hidden="false" customHeight="false" outlineLevel="0" collapsed="false">
      <c r="A5" s="31" t="s">
        <v>51</v>
      </c>
      <c r="B5" s="31" t="s">
        <v>53</v>
      </c>
      <c r="C5" s="32" t="n">
        <v>0</v>
      </c>
      <c r="D5" s="32" t="n">
        <v>0</v>
      </c>
      <c r="E5" s="31" t="str">
        <f aca="false">IF(C5=D5,"Yes","No")</f>
        <v>Yes</v>
      </c>
      <c r="F5" s="32" t="n">
        <v>0</v>
      </c>
      <c r="G5" s="31"/>
      <c r="H5" s="31" t="s">
        <v>394</v>
      </c>
      <c r="I5" s="31" t="s">
        <v>395</v>
      </c>
      <c r="J5" s="31" t="s">
        <v>389</v>
      </c>
    </row>
    <row r="6" customFormat="false" ht="46.25" hidden="false" customHeight="false" outlineLevel="0" collapsed="false">
      <c r="A6" s="31" t="s">
        <v>207</v>
      </c>
      <c r="B6" s="31" t="s">
        <v>208</v>
      </c>
      <c r="C6" s="32" t="n">
        <v>0</v>
      </c>
      <c r="D6" s="32" t="n">
        <v>0</v>
      </c>
      <c r="E6" s="31" t="str">
        <f aca="false">IF(C6=D6,"Yes","No")</f>
        <v>Yes</v>
      </c>
      <c r="F6" s="32" t="n">
        <v>0</v>
      </c>
      <c r="G6" s="31"/>
      <c r="H6" s="31" t="s">
        <v>396</v>
      </c>
      <c r="I6" s="31" t="s">
        <v>397</v>
      </c>
      <c r="J6" s="31" t="s">
        <v>389</v>
      </c>
    </row>
    <row r="7" customFormat="false" ht="57.45" hidden="false" customHeight="false" outlineLevel="0" collapsed="false">
      <c r="A7" s="31" t="s">
        <v>276</v>
      </c>
      <c r="B7" s="31" t="s">
        <v>278</v>
      </c>
      <c r="C7" s="32" t="n">
        <v>0</v>
      </c>
      <c r="D7" s="32" t="n">
        <v>0</v>
      </c>
      <c r="E7" s="31" t="str">
        <f aca="false">IF(C7=D7,"Yes","No")</f>
        <v>Yes</v>
      </c>
      <c r="F7" s="32" t="n">
        <v>0</v>
      </c>
      <c r="G7" s="31"/>
      <c r="H7" s="31" t="s">
        <v>398</v>
      </c>
      <c r="I7" s="31" t="s">
        <v>399</v>
      </c>
      <c r="J7" s="31" t="s">
        <v>389</v>
      </c>
    </row>
    <row r="8" customFormat="false" ht="57.45" hidden="false" customHeight="false" outlineLevel="0" collapsed="false">
      <c r="A8" s="31" t="s">
        <v>317</v>
      </c>
      <c r="B8" s="31" t="s">
        <v>319</v>
      </c>
      <c r="C8" s="32" t="n">
        <v>1</v>
      </c>
      <c r="D8" s="32" t="n">
        <v>1</v>
      </c>
      <c r="E8" s="31" t="str">
        <f aca="false">IF(C8=D8,"Yes","No")</f>
        <v>Yes</v>
      </c>
      <c r="F8" s="32" t="n">
        <v>1</v>
      </c>
      <c r="G8" s="31"/>
      <c r="H8" s="31" t="s">
        <v>400</v>
      </c>
      <c r="I8" s="31" t="s">
        <v>401</v>
      </c>
      <c r="J8" s="31" t="s">
        <v>389</v>
      </c>
    </row>
    <row r="9" customFormat="false" ht="57.45" hidden="false" customHeight="false" outlineLevel="0" collapsed="false">
      <c r="A9" s="31" t="s">
        <v>59</v>
      </c>
      <c r="B9" s="31" t="s">
        <v>60</v>
      </c>
      <c r="C9" s="32" t="n">
        <v>1</v>
      </c>
      <c r="D9" s="32" t="n">
        <v>1</v>
      </c>
      <c r="E9" s="31" t="str">
        <f aca="false">IF(C9=D9,"Yes","No")</f>
        <v>Yes</v>
      </c>
      <c r="F9" s="32" t="n">
        <v>1</v>
      </c>
      <c r="G9" s="31"/>
      <c r="H9" s="31" t="s">
        <v>402</v>
      </c>
      <c r="I9" s="31" t="s">
        <v>403</v>
      </c>
      <c r="J9" s="31" t="s">
        <v>389</v>
      </c>
    </row>
    <row r="10" customFormat="false" ht="57.45" hidden="false" customHeight="false" outlineLevel="0" collapsed="false">
      <c r="A10" s="31" t="s">
        <v>107</v>
      </c>
      <c r="B10" s="31" t="s">
        <v>109</v>
      </c>
      <c r="C10" s="32" t="n">
        <v>1</v>
      </c>
      <c r="D10" s="32" t="n">
        <v>1</v>
      </c>
      <c r="E10" s="31" t="str">
        <f aca="false">IF(C10=D10,"Yes","No")</f>
        <v>Yes</v>
      </c>
      <c r="F10" s="32" t="n">
        <v>1</v>
      </c>
      <c r="G10" s="31"/>
      <c r="H10" s="31" t="s">
        <v>404</v>
      </c>
      <c r="I10" s="31" t="s">
        <v>405</v>
      </c>
      <c r="J10" s="31" t="s">
        <v>389</v>
      </c>
    </row>
    <row r="11" customFormat="false" ht="57.45" hidden="false" customHeight="false" outlineLevel="0" collapsed="false">
      <c r="A11" s="31" t="s">
        <v>224</v>
      </c>
      <c r="B11" s="31" t="s">
        <v>220</v>
      </c>
      <c r="C11" s="32" t="n">
        <v>1</v>
      </c>
      <c r="D11" s="32" t="n">
        <v>1</v>
      </c>
      <c r="E11" s="31" t="str">
        <f aca="false">IF(C11=D11,"Yes","No")</f>
        <v>Yes</v>
      </c>
      <c r="F11" s="32" t="n">
        <v>1</v>
      </c>
      <c r="G11" s="31"/>
      <c r="H11" s="31" t="s">
        <v>406</v>
      </c>
      <c r="I11" s="31" t="s">
        <v>407</v>
      </c>
      <c r="J11" s="31" t="s">
        <v>389</v>
      </c>
    </row>
    <row r="12" customFormat="false" ht="57.45" hidden="false" customHeight="false" outlineLevel="0" collapsed="false">
      <c r="A12" s="31" t="s">
        <v>229</v>
      </c>
      <c r="B12" s="31" t="s">
        <v>231</v>
      </c>
      <c r="C12" s="32" t="n">
        <v>1</v>
      </c>
      <c r="D12" s="32" t="n">
        <v>1</v>
      </c>
      <c r="E12" s="31" t="str">
        <f aca="false">IF(C12=D12,"Yes","No")</f>
        <v>Yes</v>
      </c>
      <c r="F12" s="32" t="n">
        <v>1</v>
      </c>
      <c r="G12" s="31"/>
      <c r="H12" s="31" t="s">
        <v>408</v>
      </c>
      <c r="I12" s="31" t="s">
        <v>409</v>
      </c>
      <c r="J12" s="31" t="s">
        <v>389</v>
      </c>
    </row>
    <row r="13" customFormat="false" ht="57.45" hidden="false" customHeight="false" outlineLevel="0" collapsed="false">
      <c r="A13" s="31" t="s">
        <v>140</v>
      </c>
      <c r="B13" s="31" t="s">
        <v>142</v>
      </c>
      <c r="C13" s="32" t="n">
        <v>2</v>
      </c>
      <c r="D13" s="32" t="n">
        <v>2</v>
      </c>
      <c r="E13" s="31" t="str">
        <f aca="false">IF(C13=D13,"Yes","No")</f>
        <v>Yes</v>
      </c>
      <c r="F13" s="32" t="n">
        <v>2</v>
      </c>
      <c r="G13" s="31" t="s">
        <v>410</v>
      </c>
      <c r="H13" s="31" t="s">
        <v>411</v>
      </c>
      <c r="I13" s="31" t="s">
        <v>412</v>
      </c>
      <c r="J13" s="31" t="s">
        <v>389</v>
      </c>
    </row>
    <row r="14" customFormat="false" ht="57.45" hidden="false" customHeight="false" outlineLevel="0" collapsed="false">
      <c r="A14" s="31" t="s">
        <v>146</v>
      </c>
      <c r="B14" s="31" t="s">
        <v>147</v>
      </c>
      <c r="C14" s="32" t="n">
        <v>1</v>
      </c>
      <c r="D14" s="32" t="n">
        <v>1</v>
      </c>
      <c r="E14" s="31" t="str">
        <f aca="false">IF(C14=D14,"Yes","No")</f>
        <v>Yes</v>
      </c>
      <c r="F14" s="32" t="n">
        <v>1</v>
      </c>
      <c r="G14" s="31"/>
      <c r="H14" s="31" t="s">
        <v>413</v>
      </c>
      <c r="I14" s="31" t="s">
        <v>414</v>
      </c>
      <c r="J14" s="31" t="s">
        <v>389</v>
      </c>
    </row>
    <row r="15" customFormat="false" ht="57.45" hidden="false" customHeight="false" outlineLevel="0" collapsed="false">
      <c r="A15" s="31" t="s">
        <v>350</v>
      </c>
      <c r="B15" s="31" t="s">
        <v>351</v>
      </c>
      <c r="C15" s="32" t="n">
        <v>2</v>
      </c>
      <c r="D15" s="32" t="n">
        <v>2</v>
      </c>
      <c r="E15" s="31" t="str">
        <f aca="false">IF(C15=D15,"Yes","No")</f>
        <v>Yes</v>
      </c>
      <c r="F15" s="32" t="n">
        <v>2</v>
      </c>
      <c r="G15" s="31" t="s">
        <v>415</v>
      </c>
      <c r="H15" s="31" t="s">
        <v>416</v>
      </c>
      <c r="I15" s="31" t="s">
        <v>417</v>
      </c>
      <c r="J15" s="31" t="s">
        <v>389</v>
      </c>
    </row>
    <row r="16" customFormat="false" ht="57.45" hidden="false" customHeight="false" outlineLevel="0" collapsed="false">
      <c r="A16" s="31" t="s">
        <v>212</v>
      </c>
      <c r="B16" s="31" t="s">
        <v>214</v>
      </c>
      <c r="C16" s="32" t="n">
        <v>1</v>
      </c>
      <c r="D16" s="32" t="n">
        <v>1</v>
      </c>
      <c r="E16" s="31" t="str">
        <f aca="false">IF(C16=D16,"Yes","No")</f>
        <v>Yes</v>
      </c>
      <c r="F16" s="32" t="n">
        <v>1</v>
      </c>
      <c r="G16" s="31"/>
      <c r="H16" s="31" t="s">
        <v>418</v>
      </c>
      <c r="I16" s="31" t="s">
        <v>419</v>
      </c>
      <c r="J16" s="31" t="s">
        <v>389</v>
      </c>
    </row>
    <row r="17" customFormat="false" ht="57.45" hidden="false" customHeight="false" outlineLevel="0" collapsed="false">
      <c r="A17" s="31" t="s">
        <v>102</v>
      </c>
      <c r="B17" s="31" t="s">
        <v>103</v>
      </c>
      <c r="C17" s="32" t="n">
        <v>1</v>
      </c>
      <c r="D17" s="32" t="n">
        <v>1</v>
      </c>
      <c r="E17" s="31" t="str">
        <f aca="false">IF(C17=D17,"Yes","No")</f>
        <v>Yes</v>
      </c>
      <c r="F17" s="32" t="n">
        <v>1</v>
      </c>
      <c r="G17" s="31"/>
      <c r="H17" s="31" t="s">
        <v>420</v>
      </c>
      <c r="I17" s="31" t="s">
        <v>421</v>
      </c>
      <c r="J17" s="31" t="s">
        <v>389</v>
      </c>
    </row>
    <row r="18" customFormat="false" ht="46.25" hidden="false" customHeight="false" outlineLevel="0" collapsed="false">
      <c r="A18" s="31" t="s">
        <v>135</v>
      </c>
      <c r="B18" s="31" t="s">
        <v>136</v>
      </c>
      <c r="C18" s="32" t="n">
        <v>1</v>
      </c>
      <c r="D18" s="32" t="n">
        <v>1</v>
      </c>
      <c r="E18" s="31" t="str">
        <f aca="false">IF(C18=D18,"Yes","No")</f>
        <v>Yes</v>
      </c>
      <c r="F18" s="32" t="n">
        <v>1</v>
      </c>
      <c r="G18" s="31"/>
      <c r="H18" s="31" t="s">
        <v>422</v>
      </c>
      <c r="I18" s="31" t="s">
        <v>423</v>
      </c>
      <c r="J18" s="31" t="s">
        <v>389</v>
      </c>
    </row>
    <row r="19" customFormat="false" ht="57.45" hidden="false" customHeight="false" outlineLevel="0" collapsed="false">
      <c r="A19" s="31" t="s">
        <v>345</v>
      </c>
      <c r="B19" s="31" t="s">
        <v>346</v>
      </c>
      <c r="C19" s="32" t="n">
        <v>2</v>
      </c>
      <c r="D19" s="32" t="n">
        <v>1</v>
      </c>
      <c r="E19" s="31" t="str">
        <f aca="false">IF(C19=D19,"Yes","No")</f>
        <v>No</v>
      </c>
      <c r="F19" s="32" t="n">
        <v>2</v>
      </c>
      <c r="G19" s="31" t="s">
        <v>424</v>
      </c>
      <c r="H19" s="31" t="s">
        <v>425</v>
      </c>
      <c r="I19" s="31" t="s">
        <v>426</v>
      </c>
      <c r="J19" s="31" t="s">
        <v>427</v>
      </c>
    </row>
    <row r="20" customFormat="false" ht="15" hidden="false" customHeight="false" outlineLevel="0" collapsed="false">
      <c r="A20" s="22"/>
      <c r="B20" s="22"/>
      <c r="C20" s="22"/>
      <c r="D20" s="22"/>
      <c r="E20" s="22"/>
      <c r="F20" s="22"/>
      <c r="G20" s="22"/>
      <c r="H20" s="22"/>
      <c r="I20" s="22"/>
      <c r="J20" s="22"/>
    </row>
    <row r="21" customFormat="false" ht="15" hidden="false" customHeight="false" outlineLevel="0" collapsed="false">
      <c r="A21" s="27" t="s">
        <v>428</v>
      </c>
      <c r="B21" s="22"/>
      <c r="C21" s="33" t="n">
        <v>0.769230769230769</v>
      </c>
      <c r="D21" s="22"/>
      <c r="E21" s="22"/>
      <c r="F21" s="22"/>
      <c r="G21" s="22"/>
      <c r="H21" s="22"/>
      <c r="I21" s="22"/>
      <c r="J21" s="22"/>
    </row>
    <row r="22" customFormat="false" ht="15" hidden="false" customHeight="false" outlineLevel="0" collapsed="false">
      <c r="A22" s="27" t="s">
        <v>429</v>
      </c>
      <c r="B22" s="22"/>
      <c r="C22" s="33" t="n">
        <v>0.909090909090909</v>
      </c>
      <c r="D22" s="22"/>
      <c r="E22" s="22"/>
      <c r="F22" s="22"/>
      <c r="G22" s="22"/>
      <c r="H22" s="22"/>
      <c r="I22" s="22"/>
      <c r="J22" s="22"/>
    </row>
    <row r="23" customFormat="false" ht="15" hidden="false" customHeight="false" outlineLevel="0" collapsed="false">
      <c r="A23" s="30" t="s">
        <v>430</v>
      </c>
      <c r="B23" s="22"/>
      <c r="C23" s="22"/>
      <c r="D23" s="22"/>
      <c r="E23" s="22"/>
      <c r="F23" s="22"/>
      <c r="G23" s="22"/>
      <c r="H23" s="22"/>
      <c r="I23" s="22"/>
      <c r="J23"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3" min="3" style="0" width="12"/>
    <col collapsed="false" customWidth="true" hidden="false" outlineLevel="0" max="5" min="4" style="0" width="11"/>
    <col collapsed="false" customWidth="true" hidden="false" outlineLevel="0" max="6" min="6" style="0" width="12"/>
    <col collapsed="false" customWidth="true" hidden="false" outlineLevel="0" max="8" min="7" style="0" width="6"/>
  </cols>
  <sheetData>
    <row r="1" customFormat="false" ht="15" hidden="false" customHeight="false" outlineLevel="0" collapsed="false">
      <c r="A1" s="27" t="s">
        <v>431</v>
      </c>
      <c r="B1" s="22"/>
      <c r="C1" s="22"/>
      <c r="D1" s="22"/>
      <c r="E1" s="22"/>
      <c r="F1" s="22"/>
      <c r="G1" s="22"/>
      <c r="H1" s="22"/>
    </row>
    <row r="2" customFormat="false" ht="15" hidden="false" customHeight="false" outlineLevel="0" collapsed="false">
      <c r="A2" s="22"/>
      <c r="B2" s="22"/>
      <c r="C2" s="22"/>
      <c r="D2" s="22"/>
      <c r="E2" s="22"/>
      <c r="F2" s="22"/>
      <c r="G2" s="22"/>
      <c r="H2" s="22"/>
    </row>
    <row r="3" customFormat="false" ht="42" hidden="false" customHeight="true" outlineLevel="0" collapsed="false">
      <c r="A3" s="4" t="s">
        <v>432</v>
      </c>
      <c r="B3" s="4" t="s">
        <v>433</v>
      </c>
      <c r="C3" s="4" t="s">
        <v>434</v>
      </c>
      <c r="D3" s="4" t="s">
        <v>435</v>
      </c>
      <c r="E3" s="4" t="s">
        <v>436</v>
      </c>
      <c r="F3" s="4" t="s">
        <v>437</v>
      </c>
      <c r="G3" s="4" t="s">
        <v>438</v>
      </c>
      <c r="H3" s="4" t="s">
        <v>439</v>
      </c>
    </row>
    <row r="4" customFormat="false" ht="15" hidden="false" customHeight="false" outlineLevel="0" collapsed="false">
      <c r="A4" s="23" t="s">
        <v>440</v>
      </c>
      <c r="B4" s="34" t="n">
        <v>-0.22157942265754</v>
      </c>
      <c r="C4" s="35" t="n">
        <f aca="false">EXP(B4)-1</f>
        <v>-0.198747717964864</v>
      </c>
      <c r="D4" s="34" t="n">
        <v>-0.707455994173789</v>
      </c>
      <c r="E4" s="34" t="n">
        <v>0.264297148858709</v>
      </c>
      <c r="F4" s="33" t="n">
        <v>0.310937812437513</v>
      </c>
      <c r="G4" s="36" t="n">
        <v>31</v>
      </c>
      <c r="H4" s="36" t="n">
        <v>9</v>
      </c>
    </row>
    <row r="5" customFormat="false" ht="15" hidden="false" customHeight="false" outlineLevel="0" collapsed="false">
      <c r="A5" s="23" t="s">
        <v>441</v>
      </c>
      <c r="B5" s="34" t="n">
        <v>-0.080305364782001</v>
      </c>
      <c r="C5" s="35" t="n">
        <f aca="false">EXP(B5)-1</f>
        <v>-0.0771654978004056</v>
      </c>
      <c r="D5" s="34" t="n">
        <v>-0.584551842364061</v>
      </c>
      <c r="E5" s="34" t="n">
        <v>0.423941112800059</v>
      </c>
      <c r="F5" s="33" t="n">
        <v>0.71625674865027</v>
      </c>
      <c r="G5" s="36" t="n">
        <v>31</v>
      </c>
      <c r="H5" s="36" t="n">
        <v>9</v>
      </c>
    </row>
    <row r="6" customFormat="false" ht="15" hidden="false" customHeight="false" outlineLevel="0" collapsed="false">
      <c r="A6" s="23" t="s">
        <v>442</v>
      </c>
      <c r="B6" s="34" t="n">
        <v>-0.462217944615411</v>
      </c>
      <c r="C6" s="35" t="n">
        <f aca="false">EXP(B6)-1</f>
        <v>-0.370114955072769</v>
      </c>
      <c r="D6" s="34" t="n">
        <v>-0.991321460819516</v>
      </c>
      <c r="E6" s="34" t="n">
        <v>0.066885571588694</v>
      </c>
      <c r="F6" s="33" t="n">
        <v>0.02999400119976</v>
      </c>
      <c r="G6" s="36" t="n">
        <v>31</v>
      </c>
      <c r="H6" s="36" t="n">
        <v>9</v>
      </c>
    </row>
    <row r="7" customFormat="false" ht="15" hidden="false" customHeight="false" outlineLevel="0" collapsed="false">
      <c r="A7" s="22"/>
      <c r="B7" s="22"/>
      <c r="C7" s="22"/>
      <c r="D7" s="22"/>
      <c r="E7" s="22"/>
      <c r="F7" s="22"/>
      <c r="G7" s="22"/>
      <c r="H7" s="22"/>
    </row>
    <row r="8" customFormat="false" ht="15" hidden="false" customHeight="false" outlineLevel="0" collapsed="false">
      <c r="A8" s="22"/>
      <c r="B8" s="22"/>
      <c r="C8" s="22"/>
      <c r="D8" s="22"/>
      <c r="E8" s="22"/>
      <c r="F8" s="22"/>
      <c r="G8" s="22"/>
      <c r="H8" s="22"/>
    </row>
    <row r="9" customFormat="false" ht="15" hidden="false" customHeight="false" outlineLevel="0" collapsed="false">
      <c r="A9" s="27" t="s">
        <v>443</v>
      </c>
      <c r="B9" s="22"/>
      <c r="C9" s="22"/>
      <c r="D9" s="22"/>
      <c r="E9" s="22"/>
      <c r="F9" s="22"/>
      <c r="G9" s="22"/>
      <c r="H9" s="22"/>
    </row>
    <row r="10" customFormat="false" ht="42" hidden="false" customHeight="true" outlineLevel="0" collapsed="false">
      <c r="A10" s="4" t="s">
        <v>444</v>
      </c>
      <c r="B10" s="4" t="s">
        <v>445</v>
      </c>
      <c r="C10" s="4" t="s">
        <v>446</v>
      </c>
      <c r="D10" s="4" t="s">
        <v>447</v>
      </c>
      <c r="E10" s="4" t="s">
        <v>435</v>
      </c>
      <c r="F10" s="4" t="s">
        <v>436</v>
      </c>
      <c r="G10" s="22"/>
      <c r="H10" s="22"/>
    </row>
    <row r="11" customFormat="false" ht="15" hidden="false" customHeight="false" outlineLevel="0" collapsed="false">
      <c r="A11" s="23" t="s">
        <v>448</v>
      </c>
      <c r="B11" s="34" t="n">
        <v>-0.447401218169123</v>
      </c>
      <c r="C11" s="34" t="n">
        <v>2.75923456704292</v>
      </c>
      <c r="D11" s="34" t="n">
        <v>0.872397583620241</v>
      </c>
      <c r="E11" s="34" t="n">
        <v>-6.10888290495506</v>
      </c>
      <c r="F11" s="34" t="n">
        <v>5.21408046861681</v>
      </c>
      <c r="G11" s="22"/>
      <c r="H11" s="22"/>
    </row>
    <row r="12" customFormat="false" ht="15" hidden="false" customHeight="false" outlineLevel="0" collapsed="false">
      <c r="A12" s="23" t="s">
        <v>449</v>
      </c>
      <c r="B12" s="34" t="n">
        <v>1.39033665520574</v>
      </c>
      <c r="C12" s="34" t="n">
        <v>1.4152146133664</v>
      </c>
      <c r="D12" s="34" t="n">
        <v>0.334614374806834</v>
      </c>
      <c r="E12" s="34" t="n">
        <v>-1.51344387586828</v>
      </c>
      <c r="F12" s="34" t="n">
        <v>4.29411718627977</v>
      </c>
      <c r="G12" s="22"/>
      <c r="H12" s="22"/>
    </row>
    <row r="13" customFormat="false" ht="15" hidden="false" customHeight="false" outlineLevel="0" collapsed="false">
      <c r="A13" s="23" t="s">
        <v>450</v>
      </c>
      <c r="B13" s="34" t="n">
        <v>-0.336427776293631</v>
      </c>
      <c r="C13" s="34" t="n">
        <v>0.826384256706361</v>
      </c>
      <c r="D13" s="34" t="n">
        <v>0.687138116903592</v>
      </c>
      <c r="E13" s="34" t="n">
        <v>-2.03202821254262</v>
      </c>
      <c r="F13" s="34" t="n">
        <v>1.35917265995536</v>
      </c>
      <c r="G13" s="22"/>
      <c r="H13" s="22"/>
    </row>
    <row r="14" customFormat="false" ht="15" hidden="false" customHeight="false" outlineLevel="0" collapsed="false">
      <c r="A14" s="23" t="s">
        <v>451</v>
      </c>
      <c r="B14" s="34" t="n">
        <v>0.110999121854269</v>
      </c>
      <c r="C14" s="34" t="n">
        <v>0.134904800997594</v>
      </c>
      <c r="D14" s="34" t="n">
        <v>0.41783200776579</v>
      </c>
      <c r="E14" s="34" t="n">
        <v>-0.165802665652294</v>
      </c>
      <c r="F14" s="34" t="n">
        <v>0.387800909360833</v>
      </c>
      <c r="G14" s="22"/>
      <c r="H14" s="22"/>
    </row>
    <row r="15" customFormat="false" ht="15" hidden="false" customHeight="false" outlineLevel="0" collapsed="false">
      <c r="A15" s="23" t="s">
        <v>452</v>
      </c>
      <c r="B15" s="22"/>
      <c r="C15" s="22"/>
      <c r="D15" s="22"/>
      <c r="E15" s="22"/>
      <c r="F15" s="22"/>
      <c r="G15" s="22"/>
      <c r="H15" s="22"/>
    </row>
    <row r="16" customFormat="false" ht="15" hidden="false" customHeight="false" outlineLevel="0" collapsed="false">
      <c r="A16" s="22"/>
      <c r="B16" s="22"/>
      <c r="C16" s="22"/>
      <c r="D16" s="22"/>
      <c r="E16" s="22"/>
      <c r="F16" s="22"/>
      <c r="G16" s="22"/>
      <c r="H16" s="22"/>
    </row>
    <row r="17" customFormat="false" ht="15" hidden="false" customHeight="false" outlineLevel="0" collapsed="false">
      <c r="A17" s="30" t="s">
        <v>453</v>
      </c>
      <c r="B17" s="22"/>
      <c r="C17" s="22"/>
      <c r="D17" s="22"/>
      <c r="E17" s="22"/>
      <c r="F17" s="22"/>
      <c r="G17" s="22"/>
      <c r="H17"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3" min="3" style="0" width="60"/>
    <col collapsed="false" customWidth="true" hidden="false" outlineLevel="0" max="4" min="4" style="0" width="9"/>
    <col collapsed="false" customWidth="true" hidden="false" outlineLevel="0" max="5" min="5" style="0" width="11"/>
    <col collapsed="false" customWidth="true" hidden="false" outlineLevel="0" max="6" min="6" style="0" width="9"/>
    <col collapsed="false" customWidth="true" hidden="false" outlineLevel="0" max="7" min="7" style="0" width="14"/>
  </cols>
  <sheetData>
    <row r="1" customFormat="false" ht="42" hidden="false" customHeight="true" outlineLevel="0" collapsed="false">
      <c r="A1" s="4" t="s">
        <v>454</v>
      </c>
      <c r="B1" s="4" t="s">
        <v>455</v>
      </c>
      <c r="C1" s="4" t="s">
        <v>456</v>
      </c>
      <c r="D1" s="4" t="s">
        <v>457</v>
      </c>
      <c r="E1" s="4" t="s">
        <v>458</v>
      </c>
      <c r="F1" s="4" t="s">
        <v>459</v>
      </c>
      <c r="G1" s="4" t="s">
        <v>460</v>
      </c>
    </row>
    <row r="2" customFormat="false" ht="15" hidden="false" customHeight="false" outlineLevel="0" collapsed="false">
      <c r="A2" s="23" t="s">
        <v>461</v>
      </c>
      <c r="B2" s="23" t="n">
        <v>1</v>
      </c>
      <c r="C2" s="23" t="s">
        <v>462</v>
      </c>
      <c r="D2" s="23" t="n">
        <v>55</v>
      </c>
      <c r="E2" s="23" t="n">
        <v>3</v>
      </c>
      <c r="F2" s="23" t="n">
        <v>51</v>
      </c>
      <c r="G2" s="23" t="n">
        <v>13</v>
      </c>
    </row>
    <row r="3" customFormat="false" ht="15" hidden="false" customHeight="false" outlineLevel="0" collapsed="false">
      <c r="A3" s="23" t="s">
        <v>461</v>
      </c>
      <c r="B3" s="23" t="n">
        <v>2</v>
      </c>
      <c r="C3" s="23" t="s">
        <v>463</v>
      </c>
      <c r="D3" s="23" t="n">
        <v>55</v>
      </c>
      <c r="E3" s="23" t="n">
        <v>3</v>
      </c>
      <c r="F3" s="23" t="n">
        <v>51</v>
      </c>
      <c r="G3" s="23" t="n">
        <v>13</v>
      </c>
    </row>
    <row r="4" customFormat="false" ht="15" hidden="false" customHeight="false" outlineLevel="0" collapsed="false">
      <c r="A4" s="23" t="s">
        <v>461</v>
      </c>
      <c r="B4" s="23" t="n">
        <v>3</v>
      </c>
      <c r="C4" s="23" t="s">
        <v>464</v>
      </c>
      <c r="D4" s="23" t="n">
        <v>55</v>
      </c>
      <c r="E4" s="23" t="n">
        <v>3</v>
      </c>
      <c r="F4" s="23" t="n">
        <v>51</v>
      </c>
      <c r="G4" s="23" t="n">
        <v>13</v>
      </c>
    </row>
    <row r="5" customFormat="false" ht="15" hidden="false" customHeight="false" outlineLevel="0" collapsed="false">
      <c r="A5" s="23" t="s">
        <v>461</v>
      </c>
      <c r="B5" s="23" t="n">
        <v>4</v>
      </c>
      <c r="C5" s="23" t="s">
        <v>465</v>
      </c>
      <c r="D5" s="23" t="n">
        <v>54</v>
      </c>
      <c r="E5" s="23" t="n">
        <v>3</v>
      </c>
      <c r="F5" s="23" t="n">
        <v>51</v>
      </c>
      <c r="G5" s="23" t="n">
        <v>13</v>
      </c>
    </row>
    <row r="6" customFormat="false" ht="15" hidden="false" customHeight="false" outlineLevel="0" collapsed="false">
      <c r="A6" s="23" t="s">
        <v>461</v>
      </c>
      <c r="B6" s="23" t="n">
        <v>5</v>
      </c>
      <c r="C6" s="23" t="s">
        <v>466</v>
      </c>
      <c r="D6" s="23" t="n">
        <v>54</v>
      </c>
      <c r="E6" s="23" t="n">
        <v>3</v>
      </c>
      <c r="F6" s="23" t="n">
        <v>51</v>
      </c>
      <c r="G6" s="23" t="n">
        <v>13</v>
      </c>
    </row>
    <row r="7" customFormat="false" ht="15" hidden="false" customHeight="false" outlineLevel="0" collapsed="false">
      <c r="A7" s="23" t="s">
        <v>461</v>
      </c>
      <c r="B7" s="23" t="n">
        <v>6</v>
      </c>
      <c r="C7" s="23" t="s">
        <v>467</v>
      </c>
      <c r="D7" s="23" t="n">
        <v>54</v>
      </c>
      <c r="E7" s="23" t="n">
        <v>3</v>
      </c>
      <c r="F7" s="23" t="n">
        <v>51</v>
      </c>
      <c r="G7" s="23" t="n">
        <v>13</v>
      </c>
    </row>
    <row r="8" customFormat="false" ht="15" hidden="false" customHeight="false" outlineLevel="0" collapsed="false">
      <c r="A8" s="23" t="s">
        <v>461</v>
      </c>
      <c r="B8" s="23" t="n">
        <v>7</v>
      </c>
      <c r="C8" s="23" t="s">
        <v>468</v>
      </c>
      <c r="D8" s="23" t="n">
        <v>54</v>
      </c>
      <c r="E8" s="23" t="n">
        <v>3</v>
      </c>
      <c r="F8" s="23" t="n">
        <v>51</v>
      </c>
      <c r="G8" s="23" t="n">
        <v>13</v>
      </c>
    </row>
    <row r="9" customFormat="false" ht="15" hidden="false" customHeight="false" outlineLevel="0" collapsed="false">
      <c r="A9" s="23" t="s">
        <v>461</v>
      </c>
      <c r="B9" s="23" t="n">
        <v>8</v>
      </c>
      <c r="C9" s="23" t="s">
        <v>469</v>
      </c>
      <c r="D9" s="23" t="n">
        <v>35</v>
      </c>
      <c r="E9" s="23" t="n">
        <v>2</v>
      </c>
      <c r="F9" s="23" t="n">
        <v>33</v>
      </c>
      <c r="G9" s="23" t="n">
        <v>9</v>
      </c>
    </row>
    <row r="10" customFormat="false" ht="15" hidden="false" customHeight="false" outlineLevel="0" collapsed="false">
      <c r="A10" s="23" t="s">
        <v>461</v>
      </c>
      <c r="B10" s="23" t="n">
        <v>9</v>
      </c>
      <c r="C10" s="23" t="s">
        <v>470</v>
      </c>
      <c r="D10" s="23" t="n">
        <v>35</v>
      </c>
      <c r="E10" s="23" t="n">
        <v>2</v>
      </c>
      <c r="F10" s="23" t="n">
        <v>33</v>
      </c>
      <c r="G10" s="23" t="n">
        <v>9</v>
      </c>
    </row>
    <row r="11" customFormat="false" ht="15" hidden="false" customHeight="false" outlineLevel="0" collapsed="false">
      <c r="A11" s="23" t="s">
        <v>461</v>
      </c>
      <c r="B11" s="23" t="n">
        <v>10</v>
      </c>
      <c r="C11" s="23" t="s">
        <v>471</v>
      </c>
      <c r="D11" s="23" t="n">
        <v>35</v>
      </c>
      <c r="E11" s="23" t="n">
        <v>2</v>
      </c>
      <c r="F11" s="23" t="n">
        <v>33</v>
      </c>
      <c r="G11" s="23" t="n">
        <v>9</v>
      </c>
    </row>
    <row r="12" customFormat="false" ht="15" hidden="false" customHeight="false" outlineLevel="0" collapsed="false">
      <c r="A12" s="23" t="s">
        <v>461</v>
      </c>
      <c r="B12" s="23" t="n">
        <v>11</v>
      </c>
      <c r="C12" s="23" t="s">
        <v>472</v>
      </c>
      <c r="D12" s="23" t="n">
        <v>35</v>
      </c>
      <c r="E12" s="23" t="n">
        <v>2</v>
      </c>
      <c r="F12" s="23" t="n">
        <v>33</v>
      </c>
      <c r="G12" s="23" t="n">
        <v>9</v>
      </c>
    </row>
    <row r="13" customFormat="false" ht="15" hidden="false" customHeight="false" outlineLevel="0" collapsed="false">
      <c r="A13" s="23" t="s">
        <v>461</v>
      </c>
      <c r="B13" s="23" t="n">
        <v>12</v>
      </c>
      <c r="C13" s="23" t="s">
        <v>473</v>
      </c>
      <c r="D13" s="23" t="n">
        <v>35</v>
      </c>
      <c r="E13" s="23" t="n">
        <v>2</v>
      </c>
      <c r="F13" s="23" t="n">
        <v>33</v>
      </c>
      <c r="G13" s="23" t="n">
        <v>9</v>
      </c>
    </row>
    <row r="14" customFormat="false" ht="15" hidden="false" customHeight="false" outlineLevel="0" collapsed="false">
      <c r="A14" s="23" t="s">
        <v>461</v>
      </c>
      <c r="B14" s="23" t="n">
        <v>13</v>
      </c>
      <c r="C14" s="23" t="s">
        <v>474</v>
      </c>
      <c r="D14" s="23" t="n">
        <v>35</v>
      </c>
      <c r="E14" s="23" t="n">
        <v>2</v>
      </c>
      <c r="F14" s="23" t="n">
        <v>33</v>
      </c>
      <c r="G14" s="23" t="n">
        <v>9</v>
      </c>
    </row>
    <row r="15" customFormat="false" ht="15" hidden="false" customHeight="false" outlineLevel="0" collapsed="false">
      <c r="A15" s="23" t="s">
        <v>461</v>
      </c>
      <c r="B15" s="23" t="n">
        <v>14</v>
      </c>
      <c r="C15" s="23" t="s">
        <v>475</v>
      </c>
      <c r="D15" s="23" t="n">
        <v>35</v>
      </c>
      <c r="E15" s="23" t="n">
        <v>2</v>
      </c>
      <c r="F15" s="23" t="n">
        <v>33</v>
      </c>
      <c r="G15" s="23" t="n">
        <v>9</v>
      </c>
    </row>
    <row r="16" customFormat="false" ht="15" hidden="false" customHeight="false" outlineLevel="0" collapsed="false">
      <c r="A16" s="23" t="s">
        <v>461</v>
      </c>
      <c r="B16" s="23" t="n">
        <v>15</v>
      </c>
      <c r="C16" s="23" t="s">
        <v>476</v>
      </c>
      <c r="D16" s="23" t="n">
        <v>35</v>
      </c>
      <c r="E16" s="23" t="n">
        <v>2</v>
      </c>
      <c r="F16" s="23" t="n">
        <v>33</v>
      </c>
      <c r="G16" s="23" t="n">
        <v>9</v>
      </c>
    </row>
    <row r="17" customFormat="false" ht="15" hidden="false" customHeight="false" outlineLevel="0" collapsed="false">
      <c r="A17" s="23" t="s">
        <v>477</v>
      </c>
      <c r="B17" s="23" t="n">
        <v>1</v>
      </c>
      <c r="C17" s="23" t="s">
        <v>462</v>
      </c>
      <c r="D17" s="23" t="n">
        <v>55</v>
      </c>
      <c r="E17" s="23" t="n">
        <v>3</v>
      </c>
      <c r="F17" s="23" t="n">
        <v>51</v>
      </c>
      <c r="G17" s="23" t="n">
        <v>13</v>
      </c>
    </row>
    <row r="18" customFormat="false" ht="15" hidden="false" customHeight="false" outlineLevel="0" collapsed="false">
      <c r="A18" s="23" t="s">
        <v>477</v>
      </c>
      <c r="B18" s="23" t="n">
        <v>2</v>
      </c>
      <c r="C18" s="23" t="s">
        <v>463</v>
      </c>
      <c r="D18" s="23" t="n">
        <v>55</v>
      </c>
      <c r="E18" s="23" t="n">
        <v>3</v>
      </c>
      <c r="F18" s="23" t="n">
        <v>51</v>
      </c>
      <c r="G18" s="23" t="n">
        <v>13</v>
      </c>
    </row>
    <row r="19" customFormat="false" ht="15" hidden="false" customHeight="false" outlineLevel="0" collapsed="false">
      <c r="A19" s="23" t="s">
        <v>477</v>
      </c>
      <c r="B19" s="23" t="n">
        <v>3</v>
      </c>
      <c r="C19" s="23" t="s">
        <v>464</v>
      </c>
      <c r="D19" s="23" t="n">
        <v>55</v>
      </c>
      <c r="E19" s="23" t="n">
        <v>3</v>
      </c>
      <c r="F19" s="23" t="n">
        <v>51</v>
      </c>
      <c r="G19" s="23" t="n">
        <v>13</v>
      </c>
    </row>
    <row r="20" customFormat="false" ht="15" hidden="false" customHeight="false" outlineLevel="0" collapsed="false">
      <c r="A20" s="23" t="s">
        <v>477</v>
      </c>
      <c r="B20" s="23" t="n">
        <v>4</v>
      </c>
      <c r="C20" s="23" t="s">
        <v>465</v>
      </c>
      <c r="D20" s="23" t="n">
        <v>54</v>
      </c>
      <c r="E20" s="23" t="n">
        <v>3</v>
      </c>
      <c r="F20" s="23" t="n">
        <v>51</v>
      </c>
      <c r="G20" s="23" t="n">
        <v>13</v>
      </c>
    </row>
    <row r="21" customFormat="false" ht="15" hidden="false" customHeight="false" outlineLevel="0" collapsed="false">
      <c r="A21" s="23" t="s">
        <v>477</v>
      </c>
      <c r="B21" s="23" t="n">
        <v>5</v>
      </c>
      <c r="C21" s="23" t="s">
        <v>466</v>
      </c>
      <c r="D21" s="23" t="n">
        <v>54</v>
      </c>
      <c r="E21" s="23" t="n">
        <v>3</v>
      </c>
      <c r="F21" s="23" t="n">
        <v>51</v>
      </c>
      <c r="G21" s="23" t="n">
        <v>13</v>
      </c>
    </row>
    <row r="22" customFormat="false" ht="15" hidden="false" customHeight="false" outlineLevel="0" collapsed="false">
      <c r="A22" s="23" t="s">
        <v>477</v>
      </c>
      <c r="B22" s="23" t="n">
        <v>6</v>
      </c>
      <c r="C22" s="23" t="s">
        <v>467</v>
      </c>
      <c r="D22" s="23" t="n">
        <v>54</v>
      </c>
      <c r="E22" s="23" t="n">
        <v>3</v>
      </c>
      <c r="F22" s="23" t="n">
        <v>51</v>
      </c>
      <c r="G22" s="23" t="n">
        <v>13</v>
      </c>
    </row>
    <row r="23" customFormat="false" ht="15" hidden="false" customHeight="false" outlineLevel="0" collapsed="false">
      <c r="A23" s="23" t="s">
        <v>477</v>
      </c>
      <c r="B23" s="23" t="n">
        <v>7</v>
      </c>
      <c r="C23" s="23" t="s">
        <v>468</v>
      </c>
      <c r="D23" s="23" t="n">
        <v>54</v>
      </c>
      <c r="E23" s="23" t="n">
        <v>3</v>
      </c>
      <c r="F23" s="23" t="n">
        <v>51</v>
      </c>
      <c r="G23" s="23" t="n">
        <v>13</v>
      </c>
    </row>
    <row r="24" customFormat="false" ht="15" hidden="false" customHeight="false" outlineLevel="0" collapsed="false">
      <c r="A24" s="23" t="s">
        <v>477</v>
      </c>
      <c r="B24" s="23" t="n">
        <v>8</v>
      </c>
      <c r="C24" s="23" t="s">
        <v>469</v>
      </c>
      <c r="D24" s="23" t="n">
        <v>35</v>
      </c>
      <c r="E24" s="23" t="n">
        <v>2</v>
      </c>
      <c r="F24" s="23" t="n">
        <v>33</v>
      </c>
      <c r="G24" s="23" t="n">
        <v>9</v>
      </c>
    </row>
    <row r="25" customFormat="false" ht="15" hidden="false" customHeight="false" outlineLevel="0" collapsed="false">
      <c r="A25" s="23" t="s">
        <v>477</v>
      </c>
      <c r="B25" s="23" t="n">
        <v>9</v>
      </c>
      <c r="C25" s="23" t="s">
        <v>470</v>
      </c>
      <c r="D25" s="23" t="n">
        <v>35</v>
      </c>
      <c r="E25" s="23" t="n">
        <v>2</v>
      </c>
      <c r="F25" s="23" t="n">
        <v>33</v>
      </c>
      <c r="G25" s="23" t="n">
        <v>9</v>
      </c>
    </row>
    <row r="26" customFormat="false" ht="15" hidden="false" customHeight="false" outlineLevel="0" collapsed="false">
      <c r="A26" s="23" t="s">
        <v>477</v>
      </c>
      <c r="B26" s="23" t="n">
        <v>10</v>
      </c>
      <c r="C26" s="23" t="s">
        <v>471</v>
      </c>
      <c r="D26" s="23" t="n">
        <v>35</v>
      </c>
      <c r="E26" s="23" t="n">
        <v>2</v>
      </c>
      <c r="F26" s="23" t="n">
        <v>33</v>
      </c>
      <c r="G26" s="23" t="n">
        <v>9</v>
      </c>
    </row>
    <row r="27" customFormat="false" ht="15" hidden="false" customHeight="false" outlineLevel="0" collapsed="false">
      <c r="A27" s="23" t="s">
        <v>477</v>
      </c>
      <c r="B27" s="23" t="n">
        <v>11</v>
      </c>
      <c r="C27" s="23" t="s">
        <v>472</v>
      </c>
      <c r="D27" s="23" t="n">
        <v>35</v>
      </c>
      <c r="E27" s="23" t="n">
        <v>2</v>
      </c>
      <c r="F27" s="23" t="n">
        <v>33</v>
      </c>
      <c r="G27" s="23" t="n">
        <v>9</v>
      </c>
    </row>
    <row r="28" customFormat="false" ht="15" hidden="false" customHeight="false" outlineLevel="0" collapsed="false">
      <c r="A28" s="23" t="s">
        <v>477</v>
      </c>
      <c r="B28" s="23" t="n">
        <v>12</v>
      </c>
      <c r="C28" s="23" t="s">
        <v>473</v>
      </c>
      <c r="D28" s="23" t="n">
        <v>35</v>
      </c>
      <c r="E28" s="23" t="n">
        <v>2</v>
      </c>
      <c r="F28" s="23" t="n">
        <v>33</v>
      </c>
      <c r="G28" s="23" t="n">
        <v>9</v>
      </c>
    </row>
    <row r="29" customFormat="false" ht="15" hidden="false" customHeight="false" outlineLevel="0" collapsed="false">
      <c r="A29" s="23" t="s">
        <v>477</v>
      </c>
      <c r="B29" s="23" t="n">
        <v>13</v>
      </c>
      <c r="C29" s="23" t="s">
        <v>474</v>
      </c>
      <c r="D29" s="23" t="n">
        <v>35</v>
      </c>
      <c r="E29" s="23" t="n">
        <v>2</v>
      </c>
      <c r="F29" s="23" t="n">
        <v>33</v>
      </c>
      <c r="G29" s="23" t="n">
        <v>9</v>
      </c>
    </row>
    <row r="30" customFormat="false" ht="15" hidden="false" customHeight="false" outlineLevel="0" collapsed="false">
      <c r="A30" s="23" t="s">
        <v>477</v>
      </c>
      <c r="B30" s="23" t="n">
        <v>14</v>
      </c>
      <c r="C30" s="23" t="s">
        <v>478</v>
      </c>
      <c r="D30" s="23" t="n">
        <v>33</v>
      </c>
      <c r="E30" s="23" t="n">
        <v>2</v>
      </c>
      <c r="F30" s="23" t="n">
        <v>31</v>
      </c>
      <c r="G30" s="23" t="n">
        <v>8</v>
      </c>
    </row>
    <row r="31" customFormat="false" ht="15" hidden="false" customHeight="false" outlineLevel="0" collapsed="false">
      <c r="A31" s="23" t="s">
        <v>477</v>
      </c>
      <c r="B31" s="23" t="n">
        <v>15</v>
      </c>
      <c r="C31" s="23" t="s">
        <v>479</v>
      </c>
      <c r="D31" s="23" t="n">
        <v>17</v>
      </c>
      <c r="E31" s="23" t="n">
        <v>2</v>
      </c>
      <c r="F31" s="23" t="n">
        <v>15</v>
      </c>
      <c r="G31" s="23" t="n">
        <v>3</v>
      </c>
    </row>
    <row r="32" customFormat="false" ht="15" hidden="false" customHeight="false" outlineLevel="0" collapsed="false">
      <c r="A32" s="23" t="s">
        <v>477</v>
      </c>
      <c r="B32" s="23" t="n">
        <v>16</v>
      </c>
      <c r="C32" s="23" t="s">
        <v>475</v>
      </c>
      <c r="D32" s="23" t="n">
        <v>17</v>
      </c>
      <c r="E32" s="23" t="n">
        <v>2</v>
      </c>
      <c r="F32" s="23" t="n">
        <v>15</v>
      </c>
      <c r="G32" s="23" t="n">
        <v>3</v>
      </c>
    </row>
    <row r="33" customFormat="false" ht="15" hidden="false" customHeight="false" outlineLevel="0" collapsed="false">
      <c r="A33" s="23" t="s">
        <v>477</v>
      </c>
      <c r="B33" s="23" t="n">
        <v>17</v>
      </c>
      <c r="C33" s="23" t="s">
        <v>476</v>
      </c>
      <c r="D33" s="23" t="n">
        <v>17</v>
      </c>
      <c r="E33" s="23" t="n">
        <v>2</v>
      </c>
      <c r="F33" s="23" t="n">
        <v>15</v>
      </c>
      <c r="G33" s="23" t="n">
        <v>3</v>
      </c>
    </row>
    <row r="34" customFormat="false" ht="15" hidden="false" customHeight="false" outlineLevel="0" collapsed="false">
      <c r="A34" s="23" t="s">
        <v>480</v>
      </c>
      <c r="B34" s="23" t="n">
        <v>1</v>
      </c>
      <c r="C34" s="23" t="s">
        <v>462</v>
      </c>
      <c r="D34" s="23" t="n">
        <v>55</v>
      </c>
      <c r="E34" s="23" t="n">
        <v>3</v>
      </c>
      <c r="F34" s="23" t="n">
        <v>51</v>
      </c>
      <c r="G34" s="23" t="n">
        <v>13</v>
      </c>
    </row>
    <row r="35" customFormat="false" ht="15" hidden="false" customHeight="false" outlineLevel="0" collapsed="false">
      <c r="A35" s="23" t="s">
        <v>480</v>
      </c>
      <c r="B35" s="23" t="n">
        <v>2</v>
      </c>
      <c r="C35" s="23" t="s">
        <v>463</v>
      </c>
      <c r="D35" s="23" t="n">
        <v>55</v>
      </c>
      <c r="E35" s="23" t="n">
        <v>3</v>
      </c>
      <c r="F35" s="23" t="n">
        <v>51</v>
      </c>
      <c r="G35" s="23" t="n">
        <v>13</v>
      </c>
    </row>
    <row r="36" customFormat="false" ht="15" hidden="false" customHeight="false" outlineLevel="0" collapsed="false">
      <c r="A36" s="23" t="s">
        <v>480</v>
      </c>
      <c r="B36" s="23" t="n">
        <v>3</v>
      </c>
      <c r="C36" s="23" t="s">
        <v>464</v>
      </c>
      <c r="D36" s="23" t="n">
        <v>55</v>
      </c>
      <c r="E36" s="23" t="n">
        <v>3</v>
      </c>
      <c r="F36" s="23" t="n">
        <v>51</v>
      </c>
      <c r="G36" s="23" t="n">
        <v>13</v>
      </c>
    </row>
    <row r="37" customFormat="false" ht="15" hidden="false" customHeight="false" outlineLevel="0" collapsed="false">
      <c r="A37" s="23" t="s">
        <v>480</v>
      </c>
      <c r="B37" s="23" t="n">
        <v>4</v>
      </c>
      <c r="C37" s="23" t="s">
        <v>465</v>
      </c>
      <c r="D37" s="23" t="n">
        <v>54</v>
      </c>
      <c r="E37" s="23" t="n">
        <v>3</v>
      </c>
      <c r="F37" s="23" t="n">
        <v>51</v>
      </c>
      <c r="G37" s="23" t="n">
        <v>13</v>
      </c>
    </row>
    <row r="38" customFormat="false" ht="15" hidden="false" customHeight="false" outlineLevel="0" collapsed="false">
      <c r="A38" s="23" t="s">
        <v>480</v>
      </c>
      <c r="B38" s="23" t="n">
        <v>5</v>
      </c>
      <c r="C38" s="23" t="s">
        <v>466</v>
      </c>
      <c r="D38" s="23" t="n">
        <v>54</v>
      </c>
      <c r="E38" s="23" t="n">
        <v>3</v>
      </c>
      <c r="F38" s="23" t="n">
        <v>51</v>
      </c>
      <c r="G38" s="23" t="n">
        <v>13</v>
      </c>
    </row>
    <row r="39" customFormat="false" ht="15" hidden="false" customHeight="false" outlineLevel="0" collapsed="false">
      <c r="A39" s="23" t="s">
        <v>480</v>
      </c>
      <c r="B39" s="23" t="n">
        <v>6</v>
      </c>
      <c r="C39" s="23" t="s">
        <v>467</v>
      </c>
      <c r="D39" s="23" t="n">
        <v>54</v>
      </c>
      <c r="E39" s="23" t="n">
        <v>3</v>
      </c>
      <c r="F39" s="23" t="n">
        <v>51</v>
      </c>
      <c r="G39" s="23" t="n">
        <v>13</v>
      </c>
    </row>
    <row r="40" customFormat="false" ht="15" hidden="false" customHeight="false" outlineLevel="0" collapsed="false">
      <c r="A40" s="23" t="s">
        <v>480</v>
      </c>
      <c r="B40" s="23" t="n">
        <v>7</v>
      </c>
      <c r="C40" s="23" t="s">
        <v>468</v>
      </c>
      <c r="D40" s="23" t="n">
        <v>54</v>
      </c>
      <c r="E40" s="23" t="n">
        <v>3</v>
      </c>
      <c r="F40" s="23" t="n">
        <v>51</v>
      </c>
      <c r="G40" s="23" t="n">
        <v>13</v>
      </c>
    </row>
    <row r="41" customFormat="false" ht="15" hidden="false" customHeight="false" outlineLevel="0" collapsed="false">
      <c r="A41" s="23" t="s">
        <v>480</v>
      </c>
      <c r="B41" s="23" t="n">
        <v>8</v>
      </c>
      <c r="C41" s="23" t="s">
        <v>481</v>
      </c>
      <c r="D41" s="23" t="n">
        <v>54</v>
      </c>
      <c r="E41" s="23" t="n">
        <v>3</v>
      </c>
      <c r="F41" s="23" t="n">
        <v>51</v>
      </c>
      <c r="G41" s="23" t="n">
        <v>13</v>
      </c>
    </row>
    <row r="42" customFormat="false" ht="15" hidden="false" customHeight="false" outlineLevel="0" collapsed="false">
      <c r="A42" s="23" t="s">
        <v>480</v>
      </c>
      <c r="B42" s="23" t="n">
        <v>9</v>
      </c>
      <c r="C42" s="23" t="s">
        <v>482</v>
      </c>
      <c r="D42" s="23" t="n">
        <v>54</v>
      </c>
      <c r="E42" s="23" t="n">
        <v>3</v>
      </c>
      <c r="F42" s="23" t="n">
        <v>51</v>
      </c>
      <c r="G42" s="23" t="n">
        <v>13</v>
      </c>
    </row>
    <row r="43" customFormat="false" ht="15" hidden="false" customHeight="false" outlineLevel="0" collapsed="false">
      <c r="A43" s="23" t="s">
        <v>480</v>
      </c>
      <c r="B43" s="23" t="n">
        <v>10</v>
      </c>
      <c r="C43" s="23" t="s">
        <v>483</v>
      </c>
      <c r="D43" s="23" t="n">
        <v>20</v>
      </c>
      <c r="E43" s="23" t="n">
        <v>2</v>
      </c>
      <c r="F43" s="23" t="n">
        <v>18</v>
      </c>
      <c r="G43" s="23" t="n">
        <v>2</v>
      </c>
    </row>
    <row r="44" customFormat="false" ht="15" hidden="false" customHeight="false" outlineLevel="0" collapsed="false">
      <c r="A44" s="23" t="s">
        <v>480</v>
      </c>
      <c r="B44" s="23" t="n">
        <v>11</v>
      </c>
      <c r="C44" s="23" t="s">
        <v>484</v>
      </c>
      <c r="D44" s="23" t="n">
        <v>20</v>
      </c>
      <c r="E44" s="23" t="n">
        <v>2</v>
      </c>
      <c r="F44" s="23" t="n">
        <v>18</v>
      </c>
      <c r="G44" s="23" t="n">
        <v>2</v>
      </c>
    </row>
    <row r="45" customFormat="false" ht="15" hidden="false" customHeight="false" outlineLevel="0" collapsed="false">
      <c r="A45" s="23" t="s">
        <v>480</v>
      </c>
      <c r="B45" s="23" t="n">
        <v>12</v>
      </c>
      <c r="C45" s="23" t="s">
        <v>474</v>
      </c>
      <c r="D45" s="23" t="n">
        <v>20</v>
      </c>
      <c r="E45" s="23" t="n">
        <v>2</v>
      </c>
      <c r="F45" s="23" t="n">
        <v>18</v>
      </c>
      <c r="G45" s="23" t="n">
        <v>2</v>
      </c>
    </row>
    <row r="46" customFormat="false" ht="15" hidden="false" customHeight="false" outlineLevel="0" collapsed="false">
      <c r="A46" s="23" t="s">
        <v>480</v>
      </c>
      <c r="B46" s="23" t="n">
        <v>13</v>
      </c>
      <c r="C46" s="23" t="s">
        <v>475</v>
      </c>
      <c r="D46" s="23" t="n">
        <v>20</v>
      </c>
      <c r="E46" s="23" t="n">
        <v>2</v>
      </c>
      <c r="F46" s="23" t="n">
        <v>18</v>
      </c>
      <c r="G46" s="23" t="n">
        <v>2</v>
      </c>
    </row>
    <row r="47" customFormat="false" ht="15" hidden="false" customHeight="false" outlineLevel="0" collapsed="false">
      <c r="A47" s="23" t="s">
        <v>480</v>
      </c>
      <c r="B47" s="23" t="n">
        <v>14</v>
      </c>
      <c r="C47" s="23" t="s">
        <v>476</v>
      </c>
      <c r="D47" s="23" t="n">
        <v>20</v>
      </c>
      <c r="E47" s="23" t="n">
        <v>2</v>
      </c>
      <c r="F47" s="23" t="n">
        <v>18</v>
      </c>
      <c r="G47" s="23"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2026-10-14T07:14:54Z</dcterms:created>
  <dc:creator>openpyxl</dc:creator>
  <dc:description/>
  <dc:language>en-US</dc:language>
  <cp:lastModifiedBy/>
  <dcterms:modified xsi:type="dcterms:W3CDTF">2026-10-14T07:14:54Z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